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tihiitb-my.sharepoint.com/personal/srishti_girish_tihiitb_org/Documents/"/>
    </mc:Choice>
  </mc:AlternateContent>
  <xr:revisionPtr revIDLastSave="6061" documentId="8_{E6F3539E-0967-4BB7-BC54-82B9F857133E}" xr6:coauthVersionLast="47" xr6:coauthVersionMax="47" xr10:uidLastSave="{502A86E0-BEBF-4EBB-B98B-35C2D23AD2B8}"/>
  <bookViews>
    <workbookView xWindow="-110" yWindow="-110" windowWidth="19420" windowHeight="11500" firstSheet="14" activeTab="16" xr2:uid="{00000000-000D-0000-FFFF-FFFF00000000}"/>
  </bookViews>
  <sheets>
    <sheet name="Task List" sheetId="3" r:id="rId1"/>
    <sheet name="Attendee List" sheetId="30" r:id="rId2"/>
    <sheet name="TECH EXPO BOOTH Details" sheetId="27" r:id="rId3"/>
    <sheet name="footfall" sheetId="21" r:id="rId4"/>
    <sheet name="Registrations" sheetId="4" r:id="rId5"/>
    <sheet name="Registrations (2)" sheetId="26" r:id="rId6"/>
    <sheet name="Confirmed Email List " sheetId="24" r:id="rId7"/>
    <sheet name="Student list" sheetId="20" r:id="rId8"/>
    <sheet name="Hostel" sheetId="25" r:id="rId9"/>
    <sheet name="Poster Presentation" sheetId="12" r:id="rId10"/>
    <sheet name="Expo" sheetId="14" r:id="rId11"/>
    <sheet name="PI registrations -Hub wise" sheetId="11" r:id="rId12"/>
    <sheet name="Dataset" sheetId="9" state="hidden" r:id="rId13"/>
    <sheet name="Key Events - Requirements " sheetId="8" r:id="rId14"/>
    <sheet name="LPI-MPI List" sheetId="10" r:id="rId15"/>
    <sheet name="LPI Accomodation" sheetId="28" r:id="rId16"/>
    <sheet name="Cab support " sheetId="19" r:id="rId17"/>
    <sheet name="Announcements " sheetId="22" r:id="rId18"/>
    <sheet name="Accommodation" sheetId="5" r:id="rId19"/>
    <sheet name="MGB  MTRC" sheetId="23" r:id="rId20"/>
    <sheet name="Flight Tickets" sheetId="6" r:id="rId21"/>
    <sheet name="Source" sheetId="7" state="hidden" r:id="rId22"/>
    <sheet name="Bulletin " sheetId="15" r:id="rId23"/>
    <sheet name="Sheet1" sheetId="13" state="hidden" r:id="rId24"/>
  </sheets>
  <definedNames>
    <definedName name="_xlnm._FilterDatabase" localSheetId="18" hidden="1">Accommodation!$D$2:$Q$58</definedName>
    <definedName name="_xlnm._FilterDatabase" localSheetId="17" hidden="1">'Announcements '!$A$1:$I$41</definedName>
    <definedName name="_xlnm._FilterDatabase" localSheetId="1" hidden="1">'Attendee List'!$B$2:$G$141</definedName>
    <definedName name="_xlnm._FilterDatabase" localSheetId="16" hidden="1">'Cab support '!$A$1:$V$1</definedName>
    <definedName name="_xlnm._FilterDatabase" localSheetId="12" hidden="1">Dataset!$A$1:$H$1</definedName>
    <definedName name="_xlnm._FilterDatabase" localSheetId="10" hidden="1">Expo!$A$1:$S$1</definedName>
    <definedName name="_xlnm._FilterDatabase" localSheetId="8" hidden="1">Hostel!$A$1:$C$28</definedName>
    <definedName name="_xlnm._FilterDatabase" localSheetId="14" hidden="1">'LPI-MPI List'!$B$2:$K$159</definedName>
    <definedName name="_xlnm._FilterDatabase" localSheetId="9" hidden="1">'Poster Presentation'!$B$1:$K$19</definedName>
    <definedName name="_xlnm._FilterDatabase" localSheetId="4" hidden="1">Registrations!$A$1:$AC$194</definedName>
    <definedName name="_xlnm._FilterDatabase" localSheetId="5" hidden="1">'Registrations (2)'!$A$1:$AC$166</definedName>
  </definedNames>
  <calcPr calcId="191028" calcCompleted="0"/>
  <pivotCaches>
    <pivotCache cacheId="25"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5" l="1"/>
  <c r="I12" i="5"/>
  <c r="I50" i="5"/>
  <c r="H42" i="24"/>
  <c r="H43" i="24"/>
  <c r="H44" i="24"/>
  <c r="H45" i="24"/>
  <c r="H46" i="24"/>
  <c r="H47" i="24"/>
  <c r="H48" i="24"/>
  <c r="H49" i="24"/>
  <c r="H50" i="24"/>
  <c r="H51" i="24"/>
  <c r="H52" i="24"/>
  <c r="H53" i="24"/>
  <c r="H54" i="24"/>
  <c r="H55" i="24"/>
  <c r="H56" i="24"/>
  <c r="H57" i="24"/>
  <c r="H58" i="24"/>
  <c r="H59" i="24"/>
  <c r="H60" i="24"/>
  <c r="H61" i="24"/>
  <c r="H62" i="24"/>
  <c r="H63" i="24"/>
  <c r="H64" i="24"/>
  <c r="H65" i="24"/>
  <c r="H66" i="24"/>
  <c r="H67" i="24"/>
  <c r="H68" i="24"/>
  <c r="H69" i="24"/>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 i="24"/>
  <c r="H3" i="24"/>
  <c r="L4" i="24"/>
  <c r="L5" i="24"/>
  <c r="L6" i="24"/>
  <c r="L7" i="24"/>
  <c r="L8" i="24"/>
  <c r="L9" i="24"/>
  <c r="L10" i="24"/>
  <c r="L11" i="24"/>
  <c r="L12" i="24"/>
  <c r="L13" i="24"/>
  <c r="L14" i="24"/>
  <c r="L15" i="24"/>
  <c r="L16" i="24"/>
  <c r="L17" i="24"/>
  <c r="L18" i="24"/>
  <c r="L19" i="24"/>
  <c r="L20" i="24"/>
  <c r="L21" i="24"/>
  <c r="L22" i="24"/>
  <c r="L23" i="24"/>
  <c r="L24" i="24"/>
  <c r="L25" i="24"/>
  <c r="L26" i="24"/>
  <c r="L27" i="24"/>
  <c r="L28" i="24"/>
  <c r="L29" i="24"/>
  <c r="L30" i="24"/>
  <c r="L31" i="24"/>
  <c r="L32" i="24"/>
  <c r="L33" i="24"/>
  <c r="L34" i="24"/>
  <c r="L35" i="24"/>
  <c r="L36" i="24"/>
  <c r="L37" i="24"/>
  <c r="L38" i="24"/>
  <c r="L3" i="24"/>
  <c r="K13" i="24"/>
  <c r="K14" i="24"/>
  <c r="K15" i="24"/>
  <c r="K16" i="24"/>
  <c r="K17" i="24"/>
  <c r="K18" i="24"/>
  <c r="K19" i="24"/>
  <c r="K20" i="24"/>
  <c r="K21" i="24"/>
  <c r="K22" i="24"/>
  <c r="K23" i="24"/>
  <c r="K24" i="24"/>
  <c r="K25" i="24"/>
  <c r="K26" i="24"/>
  <c r="K27" i="24"/>
  <c r="K28" i="24"/>
  <c r="K29" i="24"/>
  <c r="K30" i="24"/>
  <c r="K31" i="24"/>
  <c r="K32" i="24"/>
  <c r="K33" i="24"/>
  <c r="K34" i="24"/>
  <c r="K35" i="24"/>
  <c r="K36" i="24"/>
  <c r="K37" i="24"/>
  <c r="K38" i="24"/>
  <c r="K4" i="24"/>
  <c r="K5" i="24"/>
  <c r="K6" i="24"/>
  <c r="K7" i="24"/>
  <c r="K8" i="24"/>
  <c r="K9" i="24"/>
  <c r="K10" i="24"/>
  <c r="K11" i="24"/>
  <c r="K12" i="24"/>
  <c r="K3" i="24"/>
  <c r="G27" i="24"/>
  <c r="G28" i="24"/>
  <c r="G29" i="24"/>
  <c r="G30" i="24"/>
  <c r="G31" i="24"/>
  <c r="G32" i="24"/>
  <c r="G33" i="24"/>
  <c r="G34" i="24"/>
  <c r="G35" i="24"/>
  <c r="G36" i="24"/>
  <c r="G37" i="24"/>
  <c r="G38" i="24"/>
  <c r="G39"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4" i="24"/>
  <c r="G5" i="24"/>
  <c r="G6" i="24"/>
  <c r="G7" i="24"/>
  <c r="G8" i="24"/>
  <c r="G9" i="24"/>
  <c r="G10" i="24"/>
  <c r="G11" i="24"/>
  <c r="G12" i="24"/>
  <c r="G13" i="24"/>
  <c r="G14" i="24"/>
  <c r="G15" i="24"/>
  <c r="G16" i="24"/>
  <c r="G17" i="24"/>
  <c r="G18" i="24"/>
  <c r="G19" i="24"/>
  <c r="G20" i="24"/>
  <c r="G21" i="24"/>
  <c r="G22" i="24"/>
  <c r="G23" i="24"/>
  <c r="G24" i="24"/>
  <c r="G25" i="24"/>
  <c r="G26" i="24"/>
  <c r="G3" i="24"/>
  <c r="L160" i="26"/>
  <c r="L157" i="26"/>
  <c r="L156" i="26"/>
  <c r="K146" i="26"/>
  <c r="K145" i="26"/>
  <c r="M144" i="26"/>
  <c r="L144" i="26"/>
  <c r="M143" i="26"/>
  <c r="K143" i="26"/>
  <c r="M142" i="26"/>
  <c r="K142" i="26"/>
  <c r="M141" i="26"/>
  <c r="K141" i="26"/>
  <c r="M140" i="26"/>
  <c r="K140" i="26"/>
  <c r="M139" i="26"/>
  <c r="K139" i="26"/>
  <c r="M138" i="26"/>
  <c r="K138" i="26"/>
  <c r="M137" i="26"/>
  <c r="K137" i="26"/>
  <c r="M136" i="26"/>
  <c r="K136" i="26"/>
  <c r="M135" i="26"/>
  <c r="K135" i="26"/>
  <c r="M134" i="26"/>
  <c r="K134" i="26"/>
  <c r="M133" i="26"/>
  <c r="K133" i="26"/>
  <c r="M132" i="26"/>
  <c r="K132" i="26"/>
  <c r="M131" i="26"/>
  <c r="K131" i="26"/>
  <c r="M130" i="26"/>
  <c r="K130" i="26"/>
  <c r="M129" i="26"/>
  <c r="K129" i="26"/>
  <c r="M128" i="26"/>
  <c r="K128" i="26"/>
  <c r="M127" i="26"/>
  <c r="K127" i="26"/>
  <c r="M126" i="26"/>
  <c r="K126" i="26"/>
  <c r="M125" i="26"/>
  <c r="K125" i="26"/>
  <c r="M124" i="26"/>
  <c r="K124" i="26"/>
  <c r="M123" i="26"/>
  <c r="K123" i="26"/>
  <c r="M122" i="26"/>
  <c r="K122" i="26"/>
  <c r="K121" i="26"/>
  <c r="K120" i="26"/>
  <c r="K119" i="26"/>
  <c r="K118" i="26"/>
  <c r="K117" i="26"/>
  <c r="K116" i="26"/>
  <c r="M115" i="26"/>
  <c r="K115" i="26"/>
  <c r="M114" i="26"/>
  <c r="K114" i="26"/>
  <c r="M113" i="26"/>
  <c r="K113" i="26"/>
  <c r="M112" i="26"/>
  <c r="K112" i="26"/>
  <c r="M111" i="26"/>
  <c r="K111" i="26"/>
  <c r="M110" i="26"/>
  <c r="K110" i="26"/>
  <c r="M109" i="26"/>
  <c r="K109" i="26"/>
  <c r="M108" i="26"/>
  <c r="K108" i="26"/>
  <c r="M107" i="26"/>
  <c r="K107" i="26"/>
  <c r="K104" i="26"/>
  <c r="K103" i="26"/>
  <c r="K102" i="26"/>
  <c r="K101" i="26"/>
  <c r="K100" i="26"/>
  <c r="K99" i="26"/>
  <c r="K98" i="26"/>
  <c r="K97" i="26"/>
  <c r="K96" i="26"/>
  <c r="K95" i="26"/>
  <c r="K94" i="26"/>
  <c r="K93" i="26"/>
  <c r="K92" i="26"/>
  <c r="M91" i="26"/>
  <c r="N91" i="26" s="1"/>
  <c r="K91" i="26"/>
  <c r="M90" i="26"/>
  <c r="K90" i="26"/>
  <c r="M89" i="26"/>
  <c r="N89" i="26" s="1"/>
  <c r="K89" i="26"/>
  <c r="L89" i="26" s="1"/>
  <c r="M88" i="26"/>
  <c r="N88" i="26" s="1"/>
  <c r="K88" i="26"/>
  <c r="L88" i="26" s="1"/>
  <c r="M87" i="26"/>
  <c r="N87" i="26" s="1"/>
  <c r="K87" i="26"/>
  <c r="L87" i="26" s="1"/>
  <c r="M86" i="26"/>
  <c r="N86" i="26" s="1"/>
  <c r="K86" i="26"/>
  <c r="L86" i="26" s="1"/>
  <c r="M85" i="26"/>
  <c r="K85" i="26"/>
  <c r="M84" i="26"/>
  <c r="K84" i="26"/>
  <c r="M83" i="26"/>
  <c r="K83" i="26"/>
  <c r="M82" i="26"/>
  <c r="N82" i="26" s="1"/>
  <c r="K82" i="26"/>
  <c r="L82" i="26" s="1"/>
  <c r="M81" i="26"/>
  <c r="N81" i="26" s="1"/>
  <c r="K81" i="26"/>
  <c r="L81" i="26" s="1"/>
  <c r="M80" i="26"/>
  <c r="N80" i="26" s="1"/>
  <c r="K80" i="26"/>
  <c r="L80" i="26" s="1"/>
  <c r="M79" i="26"/>
  <c r="K79" i="26"/>
  <c r="M78" i="26"/>
  <c r="K78" i="26"/>
  <c r="M77" i="26"/>
  <c r="N77" i="26" s="1"/>
  <c r="K77" i="26"/>
  <c r="L77" i="26" s="1"/>
  <c r="M76" i="26"/>
  <c r="K76" i="26"/>
  <c r="M75" i="26"/>
  <c r="N75" i="26" s="1"/>
  <c r="K75" i="26"/>
  <c r="L75" i="26" s="1"/>
  <c r="M74" i="26"/>
  <c r="K74" i="26"/>
  <c r="M73" i="26"/>
  <c r="N73" i="26" s="1"/>
  <c r="K73" i="26"/>
  <c r="L73" i="26" s="1"/>
  <c r="M72" i="26"/>
  <c r="K72" i="26"/>
  <c r="M71" i="26"/>
  <c r="N71" i="26" s="1"/>
  <c r="K71" i="26"/>
  <c r="L71" i="26" s="1"/>
  <c r="M70" i="26"/>
  <c r="N70" i="26" s="1"/>
  <c r="K70" i="26"/>
  <c r="L70" i="26" s="1"/>
  <c r="M69" i="26"/>
  <c r="N69" i="26" s="1"/>
  <c r="K69" i="26"/>
  <c r="L69" i="26" s="1"/>
  <c r="M68" i="26"/>
  <c r="K68" i="26"/>
  <c r="M67" i="26"/>
  <c r="K67" i="26"/>
  <c r="M66" i="26"/>
  <c r="K66" i="26"/>
  <c r="M65" i="26"/>
  <c r="N65" i="26" s="1"/>
  <c r="K65" i="26"/>
  <c r="L65" i="26" s="1"/>
  <c r="M64" i="26"/>
  <c r="N64" i="26" s="1"/>
  <c r="K64" i="26"/>
  <c r="L64" i="26" s="1"/>
  <c r="M63" i="26"/>
  <c r="K63" i="26"/>
  <c r="M62" i="26"/>
  <c r="N62" i="26" s="1"/>
  <c r="K62" i="26"/>
  <c r="L62" i="26" s="1"/>
  <c r="M61" i="26"/>
  <c r="N61" i="26" s="1"/>
  <c r="K61" i="26"/>
  <c r="L61" i="26" s="1"/>
  <c r="M60" i="26"/>
  <c r="N60" i="26" s="1"/>
  <c r="K60" i="26"/>
  <c r="L60" i="26" s="1"/>
  <c r="M59" i="26"/>
  <c r="K59" i="26"/>
  <c r="M58" i="26"/>
  <c r="N58" i="26" s="1"/>
  <c r="K58" i="26"/>
  <c r="L58" i="26" s="1"/>
  <c r="M57" i="26"/>
  <c r="K57" i="26"/>
  <c r="M56" i="26"/>
  <c r="N56" i="26" s="1"/>
  <c r="K56" i="26"/>
  <c r="L56" i="26" s="1"/>
  <c r="M55" i="26"/>
  <c r="K55" i="26"/>
  <c r="M54" i="26"/>
  <c r="N54" i="26" s="1"/>
  <c r="K54" i="26"/>
  <c r="L54" i="26" s="1"/>
  <c r="M53" i="26"/>
  <c r="N53" i="26" s="1"/>
  <c r="K53" i="26"/>
  <c r="L53" i="26" s="1"/>
  <c r="M52" i="26"/>
  <c r="N52" i="26" s="1"/>
  <c r="K52" i="26"/>
  <c r="L52" i="26" s="1"/>
  <c r="M51" i="26"/>
  <c r="N51" i="26" s="1"/>
  <c r="K51" i="26"/>
  <c r="L51" i="26" s="1"/>
  <c r="M50" i="26"/>
  <c r="K50" i="26"/>
  <c r="M49" i="26"/>
  <c r="K49" i="26"/>
  <c r="M48" i="26"/>
  <c r="N48" i="26" s="1"/>
  <c r="K48" i="26"/>
  <c r="L48" i="26" s="1"/>
  <c r="M47" i="26"/>
  <c r="K47" i="26"/>
  <c r="M46" i="26"/>
  <c r="N46" i="26" s="1"/>
  <c r="K46" i="26"/>
  <c r="L46" i="26" s="1"/>
  <c r="M45" i="26"/>
  <c r="K45" i="26"/>
  <c r="M44" i="26"/>
  <c r="N44" i="26" s="1"/>
  <c r="K44" i="26"/>
  <c r="L44" i="26" s="1"/>
  <c r="M43" i="26"/>
  <c r="K43" i="26"/>
  <c r="M42" i="26"/>
  <c r="K42" i="26"/>
  <c r="M41" i="26"/>
  <c r="K41" i="26"/>
  <c r="M40" i="26"/>
  <c r="K40" i="26"/>
  <c r="M39" i="26"/>
  <c r="K39" i="26"/>
  <c r="M38" i="26"/>
  <c r="K38" i="26"/>
  <c r="M37" i="26"/>
  <c r="K37" i="26"/>
  <c r="M36" i="26"/>
  <c r="K36" i="26"/>
  <c r="M35" i="26"/>
  <c r="K35" i="26"/>
  <c r="M34" i="26"/>
  <c r="K34" i="26"/>
  <c r="M33" i="26"/>
  <c r="K33" i="26"/>
  <c r="M32" i="26"/>
  <c r="K32" i="26"/>
  <c r="M31" i="26"/>
  <c r="K31" i="26"/>
  <c r="M30" i="26"/>
  <c r="K30" i="26"/>
  <c r="M29" i="26"/>
  <c r="K29" i="26"/>
  <c r="M28" i="26"/>
  <c r="K28" i="26"/>
  <c r="M27" i="26"/>
  <c r="K27" i="26"/>
  <c r="M26" i="26"/>
  <c r="K26" i="26"/>
  <c r="M25" i="26"/>
  <c r="K25" i="26"/>
  <c r="M24" i="26"/>
  <c r="K24" i="26"/>
  <c r="M23" i="26"/>
  <c r="K23" i="26"/>
  <c r="M22" i="26"/>
  <c r="K22" i="26"/>
  <c r="M21" i="26"/>
  <c r="K21" i="26"/>
  <c r="M20" i="26"/>
  <c r="K20" i="26"/>
  <c r="M19" i="26"/>
  <c r="K19" i="26"/>
  <c r="M18" i="26"/>
  <c r="K18" i="26"/>
  <c r="M17" i="26"/>
  <c r="K17" i="26"/>
  <c r="M16" i="26"/>
  <c r="K16" i="26"/>
  <c r="M15" i="26"/>
  <c r="K15" i="26"/>
  <c r="M14" i="26"/>
  <c r="K14" i="26"/>
  <c r="M13" i="26"/>
  <c r="K13" i="26"/>
  <c r="M12" i="26"/>
  <c r="K12" i="26"/>
  <c r="M11" i="26"/>
  <c r="K11" i="26"/>
  <c r="M10" i="26"/>
  <c r="K10" i="26"/>
  <c r="M9" i="26"/>
  <c r="K9" i="26"/>
  <c r="M8" i="26"/>
  <c r="K8" i="26"/>
  <c r="M7" i="26"/>
  <c r="K7" i="26"/>
  <c r="M6" i="26"/>
  <c r="K6" i="26"/>
  <c r="M5" i="26"/>
  <c r="K5" i="26"/>
  <c r="M4" i="26"/>
  <c r="K4" i="26"/>
  <c r="M3" i="26"/>
  <c r="K3" i="26"/>
  <c r="M2" i="26"/>
  <c r="K2" i="26"/>
  <c r="K104" i="4"/>
  <c r="J159" i="10"/>
  <c r="J158" i="10"/>
  <c r="J157" i="10"/>
  <c r="J156" i="10"/>
  <c r="J155" i="10"/>
  <c r="J154" i="10"/>
  <c r="J153" i="10"/>
  <c r="J152" i="10"/>
  <c r="J151" i="10"/>
  <c r="J150" i="10"/>
  <c r="J149" i="10"/>
  <c r="J148" i="10"/>
  <c r="J147" i="10"/>
  <c r="J146" i="10"/>
  <c r="J145" i="10"/>
  <c r="J144" i="10"/>
  <c r="J143" i="10"/>
  <c r="J142" i="10"/>
  <c r="J141" i="10"/>
  <c r="J140" i="10"/>
  <c r="J139" i="10"/>
  <c r="J138" i="10"/>
  <c r="J137" i="10"/>
  <c r="J136" i="10"/>
  <c r="J135" i="10"/>
  <c r="J134" i="10"/>
  <c r="J133" i="10"/>
  <c r="J132" i="10"/>
  <c r="J131" i="10"/>
  <c r="J130" i="10"/>
  <c r="J129" i="10"/>
  <c r="J128" i="10"/>
  <c r="J127" i="10"/>
  <c r="J126" i="10"/>
  <c r="J125" i="10"/>
  <c r="J124" i="10"/>
  <c r="J123" i="10"/>
  <c r="J122" i="10"/>
  <c r="J121" i="10"/>
  <c r="J120" i="10"/>
  <c r="J119" i="10"/>
  <c r="J118" i="10"/>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J4" i="10"/>
  <c r="J3" i="10"/>
  <c r="I167" i="9"/>
  <c r="I166" i="9"/>
  <c r="I165" i="9"/>
  <c r="I164" i="9"/>
  <c r="I163" i="9"/>
  <c r="I162" i="9"/>
  <c r="I161" i="9"/>
  <c r="I160" i="9"/>
  <c r="I158" i="9"/>
  <c r="I157" i="9"/>
  <c r="I156" i="9"/>
  <c r="I155" i="9"/>
  <c r="I154" i="9"/>
  <c r="I153" i="9"/>
  <c r="I152" i="9"/>
  <c r="I151" i="9"/>
  <c r="I150" i="9"/>
  <c r="I149" i="9"/>
  <c r="I148" i="9"/>
  <c r="I147" i="9"/>
  <c r="I146" i="9"/>
  <c r="I144" i="9"/>
  <c r="I142" i="9"/>
  <c r="I141" i="9"/>
  <c r="I140" i="9"/>
  <c r="I139" i="9"/>
  <c r="I138" i="9"/>
  <c r="I137" i="9"/>
  <c r="I136"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1" i="9"/>
  <c r="I100" i="9"/>
  <c r="I99" i="9"/>
  <c r="I98" i="9"/>
  <c r="I96" i="9"/>
  <c r="I95" i="9"/>
  <c r="I94" i="9"/>
  <c r="I93" i="9"/>
  <c r="I92" i="9"/>
  <c r="I91" i="9"/>
  <c r="I90" i="9"/>
  <c r="I89" i="9"/>
  <c r="I88" i="9"/>
  <c r="I87" i="9"/>
  <c r="I86" i="9"/>
  <c r="I85" i="9"/>
  <c r="I84" i="9"/>
  <c r="I83" i="9"/>
  <c r="I82" i="9"/>
  <c r="I81" i="9"/>
  <c r="I80" i="9"/>
  <c r="I79" i="9"/>
  <c r="I78" i="9"/>
  <c r="I77" i="9"/>
  <c r="I76" i="9"/>
  <c r="I75" i="9"/>
  <c r="I74" i="9"/>
  <c r="I73" i="9"/>
  <c r="I72" i="9"/>
  <c r="I71" i="9"/>
  <c r="I70" i="9"/>
  <c r="I68" i="9"/>
  <c r="I67" i="9"/>
  <c r="I66" i="9"/>
  <c r="I65" i="9"/>
  <c r="I64" i="9"/>
  <c r="I63" i="9"/>
  <c r="I62" i="9"/>
  <c r="I60" i="9"/>
  <c r="I59" i="9"/>
  <c r="I57" i="9"/>
  <c r="I52" i="9"/>
  <c r="I51" i="9"/>
  <c r="I48" i="9"/>
  <c r="I46" i="9"/>
  <c r="I45" i="9"/>
  <c r="I44" i="9"/>
  <c r="I42" i="9"/>
  <c r="I39" i="9"/>
  <c r="I37" i="9"/>
  <c r="I35" i="9"/>
  <c r="I33" i="9"/>
  <c r="I32" i="9"/>
  <c r="I31" i="9"/>
  <c r="I29" i="9"/>
  <c r="I28" i="9"/>
  <c r="I27" i="9"/>
  <c r="I26" i="9"/>
  <c r="I25" i="9"/>
  <c r="I24" i="9"/>
  <c r="I22" i="9"/>
  <c r="I19" i="9"/>
  <c r="I17" i="9"/>
  <c r="I15" i="9"/>
  <c r="I14" i="9"/>
  <c r="I13" i="9"/>
  <c r="I12" i="9"/>
  <c r="I11" i="9"/>
  <c r="I10" i="9"/>
  <c r="I9" i="9"/>
  <c r="I8" i="9"/>
  <c r="I7" i="9"/>
  <c r="I6" i="9"/>
  <c r="I5" i="9"/>
  <c r="I4" i="9"/>
  <c r="I3" i="9"/>
  <c r="I2" i="9"/>
  <c r="Q16" i="8"/>
  <c r="S20" i="8"/>
  <c r="Q3" i="5"/>
  <c r="I49" i="5"/>
  <c r="I51" i="5"/>
  <c r="I52" i="5"/>
  <c r="L187" i="4"/>
  <c r="L183" i="4"/>
  <c r="L182" i="4"/>
  <c r="I134" i="9" s="1"/>
  <c r="L11" i="19" l="1"/>
  <c r="L2" i="19" l="1"/>
  <c r="L4" i="19"/>
  <c r="L5" i="19"/>
  <c r="L6" i="19"/>
  <c r="L8" i="19"/>
  <c r="L9" i="19"/>
  <c r="L10" i="19"/>
  <c r="L12" i="19"/>
  <c r="L13" i="19"/>
  <c r="L14" i="19"/>
  <c r="L15" i="19"/>
  <c r="L16" i="19"/>
  <c r="L3" i="19"/>
  <c r="C12" i="21"/>
  <c r="H24" i="20"/>
  <c r="H3" i="20"/>
  <c r="H4" i="20"/>
  <c r="H5" i="20"/>
  <c r="H6" i="20"/>
  <c r="H7" i="20"/>
  <c r="H8" i="20"/>
  <c r="H9" i="20"/>
  <c r="H10" i="20"/>
  <c r="H11" i="20"/>
  <c r="H12" i="20"/>
  <c r="H13" i="20"/>
  <c r="H14" i="20"/>
  <c r="H15" i="20"/>
  <c r="H16" i="20"/>
  <c r="H17" i="20"/>
  <c r="H18" i="20"/>
  <c r="H19" i="20"/>
  <c r="H20" i="20"/>
  <c r="H21" i="20"/>
  <c r="H22" i="20"/>
  <c r="H23" i="20"/>
  <c r="H2" i="20"/>
  <c r="K117" i="4"/>
  <c r="K118" i="4"/>
  <c r="K119" i="4"/>
  <c r="K120" i="4"/>
  <c r="K121" i="4"/>
  <c r="K92" i="4"/>
  <c r="K168" i="4"/>
  <c r="K169" i="4"/>
  <c r="K170" i="4"/>
  <c r="K93" i="4"/>
  <c r="K171" i="4"/>
  <c r="K94" i="4"/>
  <c r="K172" i="4"/>
  <c r="K95" i="4"/>
  <c r="K96" i="4"/>
  <c r="K97" i="4"/>
  <c r="K98" i="4"/>
  <c r="K99" i="4"/>
  <c r="K100" i="4"/>
  <c r="K101" i="4"/>
  <c r="K102" i="4"/>
  <c r="K103" i="4"/>
  <c r="K116" i="4"/>
  <c r="I3" i="5"/>
  <c r="I4" i="5"/>
  <c r="I5" i="5"/>
  <c r="I6" i="5"/>
  <c r="I7" i="5"/>
  <c r="I8" i="5"/>
  <c r="I9" i="5"/>
  <c r="I10" i="5"/>
  <c r="I14" i="5"/>
  <c r="I16"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13" i="5"/>
  <c r="M167" i="4" l="1"/>
  <c r="L167" i="4"/>
  <c r="Q4" i="5" l="1"/>
  <c r="Q5" i="5"/>
  <c r="M164" i="4"/>
  <c r="M165" i="4"/>
  <c r="M166" i="4"/>
  <c r="K164" i="4"/>
  <c r="K165" i="4"/>
  <c r="K166" i="4"/>
  <c r="M161" i="4"/>
  <c r="M77" i="4"/>
  <c r="N77" i="4" s="1"/>
  <c r="M162" i="4"/>
  <c r="M78" i="4"/>
  <c r="M79" i="4"/>
  <c r="M80" i="4"/>
  <c r="N80" i="4" s="1"/>
  <c r="M81" i="4"/>
  <c r="N81" i="4" s="1"/>
  <c r="M82" i="4"/>
  <c r="N82" i="4" s="1"/>
  <c r="M83" i="4"/>
  <c r="M84" i="4"/>
  <c r="M85" i="4"/>
  <c r="M86" i="4"/>
  <c r="N86" i="4" s="1"/>
  <c r="M87" i="4"/>
  <c r="N87" i="4" s="1"/>
  <c r="M88" i="4"/>
  <c r="N88" i="4" s="1"/>
  <c r="M163" i="4"/>
  <c r="M89" i="4"/>
  <c r="N89" i="4" s="1"/>
  <c r="M90" i="4"/>
  <c r="M91" i="4"/>
  <c r="N91" i="4" s="1"/>
  <c r="K161" i="4"/>
  <c r="K77" i="4"/>
  <c r="L77" i="4" s="1"/>
  <c r="I56" i="9" s="1"/>
  <c r="K162" i="4"/>
  <c r="K78" i="4"/>
  <c r="K79" i="4"/>
  <c r="K80" i="4"/>
  <c r="L80" i="4" s="1"/>
  <c r="I38" i="9" s="1"/>
  <c r="K81" i="4"/>
  <c r="L81" i="4" s="1"/>
  <c r="I43" i="9" s="1"/>
  <c r="K82" i="4"/>
  <c r="L82" i="4" s="1"/>
  <c r="I54" i="9" s="1"/>
  <c r="K83" i="4"/>
  <c r="K84" i="4"/>
  <c r="K85" i="4"/>
  <c r="K86" i="4"/>
  <c r="L86" i="4" s="1"/>
  <c r="I36" i="9" s="1"/>
  <c r="K87" i="4"/>
  <c r="L87" i="4" s="1"/>
  <c r="I50" i="9" s="1"/>
  <c r="K88" i="4"/>
  <c r="L88" i="4" s="1"/>
  <c r="I34" i="9" s="1"/>
  <c r="K163" i="4"/>
  <c r="K89" i="4"/>
  <c r="L89" i="4" s="1"/>
  <c r="I20" i="9" s="1"/>
  <c r="K90" i="4"/>
  <c r="K91" i="4"/>
  <c r="M72" i="4" l="1"/>
  <c r="M73" i="4"/>
  <c r="N73" i="4" s="1"/>
  <c r="M158" i="4"/>
  <c r="M74" i="4"/>
  <c r="M75" i="4"/>
  <c r="N75" i="4" s="1"/>
  <c r="M159" i="4"/>
  <c r="M160" i="4"/>
  <c r="M76" i="4"/>
  <c r="K72" i="4"/>
  <c r="K73" i="4"/>
  <c r="L73" i="4" s="1"/>
  <c r="I16" i="9" s="1"/>
  <c r="K158" i="4"/>
  <c r="K74" i="4"/>
  <c r="K75" i="4"/>
  <c r="L75" i="4" s="1"/>
  <c r="I18" i="9" s="1"/>
  <c r="K159" i="4"/>
  <c r="K160" i="4"/>
  <c r="K76" i="4"/>
  <c r="M66" i="4" l="1"/>
  <c r="M67" i="4"/>
  <c r="M156" i="4"/>
  <c r="M157" i="4"/>
  <c r="M68" i="4"/>
  <c r="M69" i="4"/>
  <c r="N69" i="4" s="1"/>
  <c r="M70" i="4"/>
  <c r="N70" i="4" s="1"/>
  <c r="M71" i="4"/>
  <c r="N71" i="4" s="1"/>
  <c r="K66" i="4"/>
  <c r="K67" i="4"/>
  <c r="K156" i="4"/>
  <c r="K157" i="4"/>
  <c r="K68" i="4"/>
  <c r="K69" i="4"/>
  <c r="L69" i="4" s="1"/>
  <c r="I21" i="9" s="1"/>
  <c r="K70" i="4"/>
  <c r="L70" i="4" s="1"/>
  <c r="I53" i="9" s="1"/>
  <c r="K71" i="4"/>
  <c r="L71" i="4" s="1"/>
  <c r="I49" i="9" s="1"/>
  <c r="K159" i="10"/>
  <c r="M65" i="4"/>
  <c r="N65" i="4" s="1"/>
  <c r="K65" i="4"/>
  <c r="L65" i="4" s="1"/>
  <c r="I135" i="9" s="1"/>
  <c r="K4" i="10"/>
  <c r="K5" i="10"/>
  <c r="K6" i="10"/>
  <c r="K7" i="10"/>
  <c r="K9" i="10"/>
  <c r="K10" i="10"/>
  <c r="K11" i="10"/>
  <c r="K13" i="10"/>
  <c r="K14" i="10"/>
  <c r="K15" i="10"/>
  <c r="K16" i="10"/>
  <c r="K18" i="10"/>
  <c r="K19" i="10"/>
  <c r="K20" i="10"/>
  <c r="K21" i="10"/>
  <c r="K22" i="10"/>
  <c r="K24" i="10"/>
  <c r="K26" i="10"/>
  <c r="K27" i="10"/>
  <c r="K28" i="10"/>
  <c r="K29" i="10"/>
  <c r="K30" i="10"/>
  <c r="K31" i="10"/>
  <c r="K32" i="10"/>
  <c r="K33" i="10"/>
  <c r="K34" i="10"/>
  <c r="K35" i="10"/>
  <c r="K38" i="10"/>
  <c r="K39" i="10"/>
  <c r="K41" i="10"/>
  <c r="K42" i="10"/>
  <c r="K43" i="10"/>
  <c r="K45" i="10"/>
  <c r="K46" i="10"/>
  <c r="K47" i="10"/>
  <c r="K51" i="10"/>
  <c r="K52" i="10"/>
  <c r="K53" i="10"/>
  <c r="K55" i="10"/>
  <c r="K56" i="10"/>
  <c r="K57" i="10"/>
  <c r="K58" i="10"/>
  <c r="K59" i="10"/>
  <c r="K60" i="10"/>
  <c r="K61" i="10"/>
  <c r="K64" i="10"/>
  <c r="K66" i="10"/>
  <c r="K67" i="10"/>
  <c r="K68" i="10"/>
  <c r="K69" i="10"/>
  <c r="K70" i="10"/>
  <c r="K71" i="10"/>
  <c r="K72" i="10"/>
  <c r="K73" i="10"/>
  <c r="K75" i="10"/>
  <c r="K76" i="10"/>
  <c r="K77" i="10"/>
  <c r="K78" i="10"/>
  <c r="K79" i="10"/>
  <c r="K80" i="10"/>
  <c r="K81" i="10"/>
  <c r="K82" i="10"/>
  <c r="K83" i="10"/>
  <c r="K84" i="10"/>
  <c r="K85" i="10"/>
  <c r="K86" i="10"/>
  <c r="K87" i="10"/>
  <c r="K88" i="10"/>
  <c r="K89" i="10"/>
  <c r="K90" i="10"/>
  <c r="K91" i="10"/>
  <c r="K92" i="10"/>
  <c r="K93" i="10"/>
  <c r="K94" i="10"/>
  <c r="K95" i="10"/>
  <c r="K97" i="10"/>
  <c r="K98" i="10"/>
  <c r="K99" i="10"/>
  <c r="K100" i="10"/>
  <c r="K101" i="10"/>
  <c r="K102" i="10"/>
  <c r="K104" i="10"/>
  <c r="K105" i="10"/>
  <c r="K106" i="10"/>
  <c r="K107" i="10"/>
  <c r="K108" i="10"/>
  <c r="K109" i="10"/>
  <c r="K110" i="10"/>
  <c r="K111" i="10"/>
  <c r="K112" i="10"/>
  <c r="K113" i="10"/>
  <c r="K114" i="10"/>
  <c r="K117" i="10"/>
  <c r="K118" i="10"/>
  <c r="K119" i="10"/>
  <c r="K120" i="10"/>
  <c r="K121" i="10"/>
  <c r="K122" i="10"/>
  <c r="K123" i="10"/>
  <c r="K124" i="10"/>
  <c r="K125" i="10"/>
  <c r="K127" i="10"/>
  <c r="K130" i="10"/>
  <c r="K131" i="10"/>
  <c r="K133" i="10"/>
  <c r="K134" i="10"/>
  <c r="K137" i="10"/>
  <c r="K138" i="10"/>
  <c r="K141" i="10"/>
  <c r="K142" i="10"/>
  <c r="K144" i="10"/>
  <c r="K145" i="10"/>
  <c r="K147" i="10"/>
  <c r="K148" i="10"/>
  <c r="K149" i="10"/>
  <c r="K150" i="10"/>
  <c r="K151" i="10"/>
  <c r="K153" i="10"/>
  <c r="K154" i="10"/>
  <c r="K155" i="10"/>
  <c r="K156" i="10"/>
  <c r="K157" i="10"/>
  <c r="K158" i="10"/>
  <c r="K3" i="10"/>
  <c r="J3" i="9" l="1"/>
  <c r="J4" i="9"/>
  <c r="J5" i="9"/>
  <c r="J6" i="9"/>
  <c r="J7" i="9"/>
  <c r="J8" i="9"/>
  <c r="J9" i="9"/>
  <c r="J10" i="9"/>
  <c r="J11" i="9"/>
  <c r="J12" i="9"/>
  <c r="J13" i="9"/>
  <c r="J14" i="9"/>
  <c r="J15" i="9"/>
  <c r="J16" i="9"/>
  <c r="J18" i="9"/>
  <c r="J19" i="9"/>
  <c r="J20" i="9"/>
  <c r="J21" i="9"/>
  <c r="J22" i="9"/>
  <c r="J24" i="9"/>
  <c r="J25" i="9"/>
  <c r="J26" i="9"/>
  <c r="J28" i="9"/>
  <c r="J29" i="9"/>
  <c r="J31" i="9"/>
  <c r="J32" i="9"/>
  <c r="J34" i="9"/>
  <c r="J36" i="9"/>
  <c r="J37" i="9"/>
  <c r="J38" i="9"/>
  <c r="J39" i="9"/>
  <c r="J42" i="9"/>
  <c r="J43" i="9"/>
  <c r="J44" i="9"/>
  <c r="J45" i="9"/>
  <c r="J46" i="9"/>
  <c r="J48" i="9"/>
  <c r="J49" i="9"/>
  <c r="J50" i="9"/>
  <c r="J51" i="9"/>
  <c r="J52" i="9"/>
  <c r="J53" i="9"/>
  <c r="J54" i="9"/>
  <c r="J56" i="9"/>
  <c r="J57" i="9"/>
  <c r="J59" i="9"/>
  <c r="J60" i="9"/>
  <c r="J62" i="9"/>
  <c r="J63" i="9"/>
  <c r="J64" i="9"/>
  <c r="J65" i="9"/>
  <c r="J66" i="9"/>
  <c r="J67" i="9"/>
  <c r="J68" i="9"/>
  <c r="J70" i="9"/>
  <c r="J71" i="9"/>
  <c r="J72" i="9"/>
  <c r="J73" i="9"/>
  <c r="J74" i="9"/>
  <c r="J75" i="9"/>
  <c r="J76" i="9"/>
  <c r="J77" i="9"/>
  <c r="J78" i="9"/>
  <c r="J79" i="9"/>
  <c r="J81" i="9"/>
  <c r="J82" i="9"/>
  <c r="J83" i="9"/>
  <c r="J84" i="9"/>
  <c r="J85" i="9"/>
  <c r="J86" i="9"/>
  <c r="J87" i="9"/>
  <c r="J88" i="9"/>
  <c r="J89" i="9"/>
  <c r="J90" i="9"/>
  <c r="J91" i="9"/>
  <c r="J92" i="9"/>
  <c r="J93" i="9"/>
  <c r="J94" i="9"/>
  <c r="J95" i="9"/>
  <c r="J96" i="9"/>
  <c r="J98" i="9"/>
  <c r="J99" i="9"/>
  <c r="J100" i="9"/>
  <c r="J101"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4" i="9"/>
  <c r="J146" i="9"/>
  <c r="J147" i="9"/>
  <c r="J148" i="9"/>
  <c r="J149" i="9"/>
  <c r="J150" i="9"/>
  <c r="J151" i="9"/>
  <c r="J152" i="9"/>
  <c r="J153" i="9"/>
  <c r="J154" i="9"/>
  <c r="J155" i="9"/>
  <c r="J156" i="9"/>
  <c r="J157" i="9"/>
  <c r="J158" i="9"/>
  <c r="J160" i="9"/>
  <c r="J161" i="9"/>
  <c r="J162" i="9"/>
  <c r="J163" i="9"/>
  <c r="J164" i="9"/>
  <c r="J165" i="9"/>
  <c r="J166" i="9"/>
  <c r="J167" i="9"/>
  <c r="J2" i="9"/>
  <c r="M64" i="4"/>
  <c r="N64" i="4" s="1"/>
  <c r="M153" i="4"/>
  <c r="N153" i="4" s="1"/>
  <c r="K64" i="4"/>
  <c r="L64" i="4" s="1"/>
  <c r="K153" i="4"/>
  <c r="L153" i="4" s="1"/>
  <c r="M42" i="4"/>
  <c r="K20" i="4"/>
  <c r="K5" i="4"/>
  <c r="M3" i="4"/>
  <c r="M4" i="4"/>
  <c r="M110" i="4"/>
  <c r="M111" i="4"/>
  <c r="M107" i="4"/>
  <c r="M122" i="4"/>
  <c r="M5" i="4"/>
  <c r="M6" i="4"/>
  <c r="M7" i="4"/>
  <c r="M112" i="4"/>
  <c r="M123" i="4"/>
  <c r="M8" i="4"/>
  <c r="M9" i="4"/>
  <c r="M10" i="4"/>
  <c r="M11" i="4"/>
  <c r="M12" i="4"/>
  <c r="M13" i="4"/>
  <c r="M14" i="4"/>
  <c r="M15" i="4"/>
  <c r="M16" i="4"/>
  <c r="M113" i="4"/>
  <c r="M17" i="4"/>
  <c r="M18" i="4"/>
  <c r="M19" i="4"/>
  <c r="M124" i="4"/>
  <c r="M125" i="4"/>
  <c r="M20" i="4"/>
  <c r="M21" i="4"/>
  <c r="M22" i="4"/>
  <c r="M126" i="4"/>
  <c r="M127" i="4"/>
  <c r="M128" i="4"/>
  <c r="M129" i="4"/>
  <c r="M130" i="4"/>
  <c r="M23" i="4"/>
  <c r="M131" i="4"/>
  <c r="M114" i="4"/>
  <c r="M24" i="4"/>
  <c r="M25" i="4"/>
  <c r="M26" i="4"/>
  <c r="M27" i="4"/>
  <c r="M28" i="4"/>
  <c r="M29" i="4"/>
  <c r="M30" i="4"/>
  <c r="M31" i="4"/>
  <c r="M32" i="4"/>
  <c r="M33" i="4"/>
  <c r="M132" i="4"/>
  <c r="M34" i="4"/>
  <c r="M35" i="4"/>
  <c r="M36" i="4"/>
  <c r="M37" i="4"/>
  <c r="M38" i="4"/>
  <c r="M133" i="4"/>
  <c r="M134" i="4"/>
  <c r="M39" i="4"/>
  <c r="M40" i="4"/>
  <c r="M41" i="4"/>
  <c r="M135" i="4"/>
  <c r="M115" i="4"/>
  <c r="M43" i="4"/>
  <c r="M136" i="4"/>
  <c r="M137" i="4"/>
  <c r="N137" i="4" s="1"/>
  <c r="M44" i="4"/>
  <c r="N44" i="4" s="1"/>
  <c r="M45" i="4"/>
  <c r="M46" i="4"/>
  <c r="N46" i="4" s="1"/>
  <c r="M47" i="4"/>
  <c r="M138" i="4"/>
  <c r="M48" i="4"/>
  <c r="N48" i="4" s="1"/>
  <c r="M49" i="4"/>
  <c r="M50" i="4"/>
  <c r="M139" i="4"/>
  <c r="M140" i="4"/>
  <c r="M141" i="4"/>
  <c r="M51" i="4"/>
  <c r="N51" i="4" s="1"/>
  <c r="M142" i="4"/>
  <c r="M143" i="4"/>
  <c r="M52" i="4"/>
  <c r="N52" i="4" s="1"/>
  <c r="M53" i="4"/>
  <c r="N53" i="4" s="1"/>
  <c r="M54" i="4"/>
  <c r="N54" i="4" s="1"/>
  <c r="M144" i="4"/>
  <c r="M145" i="4"/>
  <c r="M55" i="4"/>
  <c r="M146" i="4"/>
  <c r="M56" i="4"/>
  <c r="N56" i="4" s="1"/>
  <c r="M57" i="4"/>
  <c r="M58" i="4"/>
  <c r="N58" i="4" s="1"/>
  <c r="M147" i="4"/>
  <c r="N147" i="4" s="1"/>
  <c r="M148" i="4"/>
  <c r="M149" i="4"/>
  <c r="M59" i="4"/>
  <c r="M60" i="4"/>
  <c r="N60" i="4" s="1"/>
  <c r="M61" i="4"/>
  <c r="N61" i="4" s="1"/>
  <c r="M62" i="4"/>
  <c r="N62" i="4" s="1"/>
  <c r="M150" i="4"/>
  <c r="M151" i="4"/>
  <c r="M152" i="4"/>
  <c r="M63" i="4"/>
  <c r="M2" i="4"/>
  <c r="M109" i="4"/>
  <c r="M108" i="4"/>
  <c r="K108" i="4"/>
  <c r="K109" i="4"/>
  <c r="K2" i="4"/>
  <c r="K3" i="4"/>
  <c r="K4" i="4"/>
  <c r="K110" i="4"/>
  <c r="K111" i="4"/>
  <c r="K107" i="4"/>
  <c r="K122" i="4"/>
  <c r="K6" i="4"/>
  <c r="K7" i="4"/>
  <c r="K112" i="4"/>
  <c r="K123" i="4"/>
  <c r="K8" i="4"/>
  <c r="K9" i="4"/>
  <c r="K10" i="4"/>
  <c r="K11" i="4"/>
  <c r="K12" i="4"/>
  <c r="K13" i="4"/>
  <c r="K14" i="4"/>
  <c r="K15" i="4"/>
  <c r="K16" i="4"/>
  <c r="K113" i="4"/>
  <c r="K17" i="4"/>
  <c r="K18" i="4"/>
  <c r="K19" i="4"/>
  <c r="K124" i="4"/>
  <c r="K125" i="4"/>
  <c r="K21" i="4"/>
  <c r="K22" i="4"/>
  <c r="K126" i="4"/>
  <c r="K127" i="4"/>
  <c r="K128" i="4"/>
  <c r="K129" i="4"/>
  <c r="K130" i="4"/>
  <c r="K23" i="4"/>
  <c r="K131" i="4"/>
  <c r="K114" i="4"/>
  <c r="K24" i="4"/>
  <c r="K25" i="4"/>
  <c r="K26" i="4"/>
  <c r="K27" i="4"/>
  <c r="K28" i="4"/>
  <c r="K29" i="4"/>
  <c r="K30" i="4"/>
  <c r="K31" i="4"/>
  <c r="K32" i="4"/>
  <c r="K33" i="4"/>
  <c r="K132" i="4"/>
  <c r="K34" i="4"/>
  <c r="K35" i="4"/>
  <c r="K36" i="4"/>
  <c r="K37" i="4"/>
  <c r="K38" i="4"/>
  <c r="K133" i="4"/>
  <c r="K134" i="4"/>
  <c r="K39" i="4"/>
  <c r="K40" i="4"/>
  <c r="K41" i="4"/>
  <c r="K135" i="4"/>
  <c r="K42" i="4"/>
  <c r="K115" i="4"/>
  <c r="K43" i="4"/>
  <c r="K136" i="4"/>
  <c r="K137" i="4"/>
  <c r="L137" i="4" s="1"/>
  <c r="J80" i="9" s="1"/>
  <c r="K44" i="4"/>
  <c r="L44" i="4" s="1"/>
  <c r="K45" i="4"/>
  <c r="K46" i="4"/>
  <c r="L46" i="4" s="1"/>
  <c r="K47" i="4"/>
  <c r="K138" i="4"/>
  <c r="K48" i="4"/>
  <c r="L48" i="4" s="1"/>
  <c r="K49" i="4"/>
  <c r="K50" i="4"/>
  <c r="K139" i="4"/>
  <c r="K140" i="4"/>
  <c r="K141" i="4"/>
  <c r="K51" i="4"/>
  <c r="L51" i="4" s="1"/>
  <c r="I30" i="9" s="1"/>
  <c r="K142" i="4"/>
  <c r="K143" i="4"/>
  <c r="K52" i="4"/>
  <c r="L52" i="4" s="1"/>
  <c r="K53" i="4"/>
  <c r="L53" i="4" s="1"/>
  <c r="K54" i="4"/>
  <c r="L54" i="4" s="1"/>
  <c r="K144" i="4"/>
  <c r="K145" i="4"/>
  <c r="K55" i="4"/>
  <c r="K146" i="4"/>
  <c r="K56" i="4"/>
  <c r="L56" i="4" s="1"/>
  <c r="K57" i="4"/>
  <c r="K58" i="4"/>
  <c r="L58" i="4" s="1"/>
  <c r="K147" i="4"/>
  <c r="L147" i="4" s="1"/>
  <c r="K148" i="4"/>
  <c r="K149" i="4"/>
  <c r="K59" i="4"/>
  <c r="K60" i="4"/>
  <c r="L60" i="4" s="1"/>
  <c r="K61" i="4"/>
  <c r="L61" i="4" s="1"/>
  <c r="K62" i="4"/>
  <c r="L62" i="4" s="1"/>
  <c r="K150" i="4"/>
  <c r="K151" i="4"/>
  <c r="K152" i="4"/>
  <c r="K63" i="4"/>
  <c r="I61" i="9" l="1"/>
  <c r="J61" i="9" s="1"/>
  <c r="I47" i="9"/>
  <c r="J47" i="9" s="1"/>
  <c r="I159" i="9"/>
  <c r="J159" i="9" s="1"/>
  <c r="I41" i="9"/>
  <c r="J41" i="9" s="1"/>
  <c r="I69" i="9"/>
  <c r="J69" i="9" s="1"/>
  <c r="I23" i="9"/>
  <c r="J23" i="9" s="1"/>
  <c r="I145" i="9"/>
  <c r="J145" i="9" s="1"/>
  <c r="I40" i="9"/>
  <c r="J40" i="9" s="1"/>
  <c r="I55" i="9"/>
  <c r="J55" i="9" s="1"/>
  <c r="I97" i="9"/>
  <c r="J97" i="9" s="1"/>
  <c r="I143" i="9"/>
  <c r="J143" i="9" s="1"/>
  <c r="I102" i="9"/>
  <c r="J102" i="9" s="1"/>
  <c r="I58" i="9"/>
  <c r="J58" i="9" s="1"/>
  <c r="J35" i="9"/>
  <c r="J30" i="9"/>
  <c r="G5" i="20" l="1"/>
  <c r="G20" i="20"/>
  <c r="G16" i="20"/>
  <c r="G12" i="20"/>
  <c r="G4" i="20"/>
  <c r="G3" i="20"/>
  <c r="G21" i="20"/>
  <c r="G19" i="20"/>
  <c r="G6" i="20"/>
  <c r="G7" i="20"/>
  <c r="G23" i="20"/>
  <c r="G14" i="20"/>
  <c r="G22" i="20"/>
  <c r="G24" i="20"/>
  <c r="G18" i="20"/>
  <c r="G8" i="20"/>
  <c r="G9" i="20"/>
  <c r="G11" i="20"/>
  <c r="G15" i="20"/>
  <c r="G13" i="20"/>
  <c r="G17" i="20"/>
  <c r="G2" i="20"/>
  <c r="G10"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Sanjana Nene</author>
  </authors>
  <commentList>
    <comment ref="C3" authorId="0" shapeId="0" xr:uid="{88F0B87D-54E4-4EB3-ABAD-2024B592B849}">
      <text>
        <r>
          <rPr>
            <b/>
            <sz val="9"/>
            <color indexed="81"/>
            <rFont val="Tahoma"/>
            <family val="2"/>
          </rPr>
          <t xml:space="preserve">Sanjana Nene:
</t>
        </r>
        <r>
          <rPr>
            <sz val="9"/>
            <color indexed="81"/>
            <rFont val="Tahoma"/>
            <family val="2"/>
          </rPr>
          <t>Will share the booth with entry 5 - Cryogenic Electronics for Spin Qubits</t>
        </r>
      </text>
    </comment>
    <comment ref="D3" authorId="0" shapeId="0" xr:uid="{FC81A3FC-180B-47A7-91FA-A46D20555967}">
      <text>
        <r>
          <rPr>
            <sz val="9"/>
            <color indexed="81"/>
            <rFont val="Tahoma"/>
            <family val="2"/>
          </rPr>
          <t xml:space="preserve">
</t>
        </r>
      </text>
    </comment>
    <comment ref="C6" authorId="0" shapeId="0" xr:uid="{AA96613A-D41F-4670-9D95-5B3F1875C536}">
      <text>
        <r>
          <rPr>
            <b/>
            <sz val="9"/>
            <color indexed="81"/>
            <rFont val="Tahoma"/>
            <family val="2"/>
          </rPr>
          <t>Sanjana Nene:</t>
        </r>
        <r>
          <rPr>
            <sz val="9"/>
            <color indexed="81"/>
            <rFont val="Tahoma"/>
            <family val="2"/>
          </rPr>
          <t xml:space="preserve">
Will share the booth with entry 2 - Highly Scalable Quantum Computer using Silicon Qubits</t>
        </r>
      </text>
    </comment>
  </commentList>
</comments>
</file>

<file path=xl/sharedStrings.xml><?xml version="1.0" encoding="utf-8"?>
<sst xmlns="http://schemas.openxmlformats.org/spreadsheetml/2006/main" count="10749" uniqueCount="2744">
  <si>
    <t>Task List</t>
  </si>
  <si>
    <t xml:space="preserve">Assigned to </t>
  </si>
  <si>
    <t>Status Update</t>
  </si>
  <si>
    <t>Comments</t>
  </si>
  <si>
    <t>Budget</t>
  </si>
  <si>
    <t xml:space="preserve">Sanjana , Snehal </t>
  </si>
  <si>
    <t>Registration form for Researchers (LPI and MPI)</t>
  </si>
  <si>
    <t xml:space="preserve">Aakash , Ruchi </t>
  </si>
  <si>
    <t>Marketing and Branding</t>
  </si>
  <si>
    <t xml:space="preserve">Marketing team </t>
  </si>
  <si>
    <t>Base creatives ready, to be reviewed</t>
  </si>
  <si>
    <t>Event flow and Agenda</t>
  </si>
  <si>
    <t xml:space="preserve">Sanjana / Hardik / Kiran sir </t>
  </si>
  <si>
    <t>Registration Kit</t>
  </si>
  <si>
    <t>HR &amp; Swapneel/ Aditya</t>
  </si>
  <si>
    <t>Memento</t>
  </si>
  <si>
    <t>Aakash, Sanjana, Swapneel</t>
  </si>
  <si>
    <t xml:space="preserve">Poster Presentation </t>
  </si>
  <si>
    <t>Ruchi &amp; Marketing</t>
  </si>
  <si>
    <t xml:space="preserve">Tech Expo </t>
  </si>
  <si>
    <t>Elton &amp; Marketing team</t>
  </si>
  <si>
    <t>Logistics (RP, Rooms, local transport, inside IITB transport)</t>
  </si>
  <si>
    <t>Puja/ Deepawali</t>
  </si>
  <si>
    <t xml:space="preserve">WiFi and Technical Support </t>
  </si>
  <si>
    <t xml:space="preserve">Wajid </t>
  </si>
  <si>
    <t>VIPs coordination and comms</t>
  </si>
  <si>
    <t>Puja</t>
  </si>
  <si>
    <t>Hub/TG Presentations</t>
  </si>
  <si>
    <t>Srishti, Puja</t>
  </si>
  <si>
    <t>Venue readiness and Event Management monitoring</t>
  </si>
  <si>
    <t>Santosh, Swapneel and Aditya</t>
  </si>
  <si>
    <t>Registration Desk</t>
  </si>
  <si>
    <t>Key Event</t>
  </si>
  <si>
    <t>Stall Set-up</t>
  </si>
  <si>
    <t>Elton &amp; Aakash</t>
  </si>
  <si>
    <t>Photography and Videography</t>
  </si>
  <si>
    <t>Media and PR</t>
  </si>
  <si>
    <t>Aakash/Key Events</t>
  </si>
  <si>
    <t>GH Accommodation - Room allotment</t>
  </si>
  <si>
    <t>Deepawali/ Puja</t>
  </si>
  <si>
    <t>Hostel Accommodation</t>
  </si>
  <si>
    <t>Gate Pass</t>
  </si>
  <si>
    <t>Deepawali/Puja/Ruchi</t>
  </si>
  <si>
    <t>Hub</t>
  </si>
  <si>
    <t>TG</t>
  </si>
  <si>
    <t>Registration Status</t>
  </si>
  <si>
    <t>Title of the Poster</t>
  </si>
  <si>
    <t>Faculty Mentor Name</t>
  </si>
  <si>
    <t>Team Member 1</t>
  </si>
  <si>
    <t>Email 1</t>
  </si>
  <si>
    <t>Team Member 2</t>
  </si>
  <si>
    <t>Email 2</t>
  </si>
  <si>
    <t>Foundation for QC Innovation IISc Bangalore</t>
  </si>
  <si>
    <t>Highly Scalable Quantum Computer using Semiconducting Qubits</t>
  </si>
  <si>
    <t>YES</t>
  </si>
  <si>
    <t>TG3 Progress &amp; Challenges</t>
  </si>
  <si>
    <t>Prof. Abhisek Dixit</t>
  </si>
  <si>
    <t>Pulak Ghoshal</t>
  </si>
  <si>
    <t>eez248406@ee.iitd.ac.in</t>
  </si>
  <si>
    <t>Deepesh Sharma</t>
  </si>
  <si>
    <t>deepesh.sharma@ee.iitd.ac.in</t>
  </si>
  <si>
    <t>Development of a 50-qubit quantum information processor with electron spins in silicon</t>
  </si>
  <si>
    <t>Active Noise Reduction in Si/SiGe Gated Quantum Dot</t>
  </si>
  <si>
    <t>Madhu Thalakulam</t>
  </si>
  <si>
    <t>Rajat Bharadwaj</t>
  </si>
  <si>
    <t>rajat21@iisertvm.ac.in</t>
  </si>
  <si>
    <t>Quantum Computing with Neutral Atoms, Trapped Ions and Related Hybrid Systems</t>
  </si>
  <si>
    <t>Neutral atom and trapped ion based quantum computing architecture</t>
  </si>
  <si>
    <t>Saptarishi Chaudhuri</t>
  </si>
  <si>
    <t>Umakant Rapol</t>
  </si>
  <si>
    <t>umakant.rapol@iiserpune.ac.in</t>
  </si>
  <si>
    <t>Ashok Kumar Mohapatra</t>
  </si>
  <si>
    <t>a.mohapatra@niser.ac.in</t>
  </si>
  <si>
    <t>Photonics quantum processor development</t>
  </si>
  <si>
    <t>Scalable Photonic Integrated circuit based photonic quantum processor</t>
  </si>
  <si>
    <t>Shankar Kumar Selvaraja</t>
  </si>
  <si>
    <t>Nishitha N</t>
  </si>
  <si>
    <t>nishithn@iisc.ac.in</t>
  </si>
  <si>
    <t>Programmable photonic quantum computing using qubits encoded in different degrees of freedom of a photon</t>
  </si>
  <si>
    <t>Quantum computers with superconducting qubits</t>
  </si>
  <si>
    <t>Methodologies for achieving high coherence superconducting qubits</t>
  </si>
  <si>
    <t>Rajamani Vijayaraghavan</t>
  </si>
  <si>
    <t>Srijita Das</t>
  </si>
  <si>
    <t>srijitadas22@gmail.com</t>
  </si>
  <si>
    <t>Towards Trusted-Node-Free Hybrid Quantum Secure Communication Networks - TAHQEECAT</t>
  </si>
  <si>
    <t>Towards Trusted node free hybrid quantum secure communication network</t>
  </si>
  <si>
    <t>Bhaskar Kanseri</t>
  </si>
  <si>
    <t>Abhay Dulta</t>
  </si>
  <si>
    <t>phz228454@iitd.ac.in</t>
  </si>
  <si>
    <t>Shahnoor Ali</t>
  </si>
  <si>
    <t>shahnoorali1989@gmail.com</t>
  </si>
  <si>
    <t>A multi node quantum repeater network for entanglement distribution based quantum communication</t>
  </si>
  <si>
    <t>Quantum Internet with Local Access QuILA</t>
  </si>
  <si>
    <t>IITM CDOT Samgnya Technologies Foundation at IIT Madras</t>
  </si>
  <si>
    <t>Post-quantum IP encryptor and TLS Accelerator</t>
  </si>
  <si>
    <t>Hardware Acceleration of Post-Quantum TLS: A Unified Kyber–Dilithium ASIC</t>
  </si>
  <si>
    <t>Debdeep Mukhopadhyay</t>
  </si>
  <si>
    <t>Siddhartha Chowdhury</t>
  </si>
  <si>
    <t>siddhartha.chowdhury92@gmail.com</t>
  </si>
  <si>
    <t>Sai Tarun Baratam</t>
  </si>
  <si>
    <t>baratamsaitarun@gmail.com</t>
  </si>
  <si>
    <t>Satellite Based Quantum Key Distribution Systems</t>
  </si>
  <si>
    <t>Field-deployable quantum-enhanced sensors on integrated hybrid platform</t>
  </si>
  <si>
    <t>Design and development of quantum entanglement-enhanced imaging systems</t>
  </si>
  <si>
    <t>Qmet Tech Foundation at IIT Bombay</t>
  </si>
  <si>
    <t>Diamond quantum defects-based sensing</t>
  </si>
  <si>
    <t>Magnetically Maneuvered Quantum Sensors</t>
  </si>
  <si>
    <t>Ambarish Ghosh</t>
  </si>
  <si>
    <t>Eklavy Vashist</t>
  </si>
  <si>
    <t>eklavy.vashist@qmettech.com</t>
  </si>
  <si>
    <t>Reconfigurable and Scalable Photonic Qubit Architecture for Quantum Computing Heterogeneous and Monolithic Approaches RASPAC</t>
  </si>
  <si>
    <t>Development of On-Demand Single Photon Emitters, Single Photon Avalanche Detectors, High-Frequency Devices and Nanowire Quantum Devices Utilizing GaAs and InP-Based Epitaxial Semiconductors</t>
  </si>
  <si>
    <t>QMD Foundation at IIT Delhi</t>
  </si>
  <si>
    <t>Wafer-scale Emitter and Detector Arrays for Multi-wavelength Room Temperature Photonic Quantum Technologies</t>
  </si>
  <si>
    <t>Prof. Saurabh Lodha</t>
  </si>
  <si>
    <t>Subham Mahanti</t>
  </si>
  <si>
    <t>Submission Date</t>
  </si>
  <si>
    <t>Name - First Name</t>
  </si>
  <si>
    <t>Name - Last Name</t>
  </si>
  <si>
    <t>Category</t>
  </si>
  <si>
    <t>Name of the Hub/Institution</t>
  </si>
  <si>
    <t>Contact Number</t>
  </si>
  <si>
    <t>E-mail</t>
  </si>
  <si>
    <t>Designation</t>
  </si>
  <si>
    <t>Your Company/Institution</t>
  </si>
  <si>
    <t>City/Town</t>
  </si>
  <si>
    <t>Corrected Hub values</t>
  </si>
  <si>
    <t>Correct TG Names</t>
  </si>
  <si>
    <t>PI Name</t>
  </si>
  <si>
    <t>Ravindra</t>
  </si>
  <si>
    <t>Barlingay</t>
  </si>
  <si>
    <t>Industry</t>
  </si>
  <si>
    <t>(+91) 9820776114</t>
  </si>
  <si>
    <t>ceo@samgnya.in</t>
  </si>
  <si>
    <t>CEO</t>
  </si>
  <si>
    <t>IITM CDOT Samgnya Technologies Foundation</t>
  </si>
  <si>
    <t>Chennai</t>
  </si>
  <si>
    <t>IIT Madras</t>
  </si>
  <si>
    <t>Kiran</t>
  </si>
  <si>
    <t>Shesh</t>
  </si>
  <si>
    <t>(+91) 9820007330</t>
  </si>
  <si>
    <t>ceo@qmettech.com</t>
  </si>
  <si>
    <t>Qmet Tech Foundation</t>
  </si>
  <si>
    <t>Mumbai</t>
  </si>
  <si>
    <t>IIT Bombay</t>
  </si>
  <si>
    <t>Ankur</t>
  </si>
  <si>
    <t>Raina</t>
  </si>
  <si>
    <t>Academician/Researcher</t>
  </si>
  <si>
    <t>IISER BHOPAL</t>
  </si>
  <si>
    <t>(+91) 9900495182</t>
  </si>
  <si>
    <t>ankur@iiserb.ac.in</t>
  </si>
  <si>
    <t>Assistant Professor</t>
  </si>
  <si>
    <t>Bhopal</t>
  </si>
  <si>
    <t>Neel Kanth</t>
  </si>
  <si>
    <t>Kundu</t>
  </si>
  <si>
    <t>Quantum Communications</t>
  </si>
  <si>
    <t>(+91) 9891901100</t>
  </si>
  <si>
    <t>neelkanth@iitd.ac.in</t>
  </si>
  <si>
    <t>New Delhi</t>
  </si>
  <si>
    <t>Veeresh Vidyadhar</t>
  </si>
  <si>
    <t>Deshpande</t>
  </si>
  <si>
    <t>Indian Institute of Technology Bombay</t>
  </si>
  <si>
    <t>(91) 9108878742</t>
  </si>
  <si>
    <t>veeresh@gmail.com</t>
  </si>
  <si>
    <t>Associate Professor</t>
  </si>
  <si>
    <t>IIT Bombay|IISc Banglore</t>
  </si>
  <si>
    <t>TG 1 Kasturi Saha | TG 5 Quantum Computers with superconducting qubits</t>
  </si>
  <si>
    <t>Dr. Venkateswaran</t>
  </si>
  <si>
    <t>PS</t>
  </si>
  <si>
    <t>(+91) 7895734999</t>
  </si>
  <si>
    <t>venkatps@qcinnovation.co.in</t>
  </si>
  <si>
    <t>Chief Operating Officer (COO)</t>
  </si>
  <si>
    <t>FQCI, DST-NQM, IISC</t>
  </si>
  <si>
    <t>Bengaluru</t>
  </si>
  <si>
    <t>IISc Bangalore</t>
  </si>
  <si>
    <t>COO</t>
  </si>
  <si>
    <t>Kunj</t>
  </si>
  <si>
    <t>Tandon</t>
  </si>
  <si>
    <t>Govt</t>
  </si>
  <si>
    <t>(+91) 9731562513</t>
  </si>
  <si>
    <t>kunjtandon@quantech.org.in</t>
  </si>
  <si>
    <t>I-Hub Quantum Technology Foundation</t>
  </si>
  <si>
    <t>Pune</t>
  </si>
  <si>
    <t>Gayathri</t>
  </si>
  <si>
    <t>Raman</t>
  </si>
  <si>
    <t>(+91) 8095096873</t>
  </si>
  <si>
    <t>g3raman@iitb.ac.in</t>
  </si>
  <si>
    <t>Program Manager</t>
  </si>
  <si>
    <t>Ritik</t>
  </si>
  <si>
    <t>Jain</t>
  </si>
  <si>
    <t>IISER Bhopal</t>
  </si>
  <si>
    <t>(+91) 7350770072</t>
  </si>
  <si>
    <t>ritikjain@iiserb.ac.in</t>
  </si>
  <si>
    <t>Junior Research Fellow</t>
  </si>
  <si>
    <t>Dr. Ankur raina</t>
  </si>
  <si>
    <t>Ravikiran</t>
  </si>
  <si>
    <t>Yeleswarapu</t>
  </si>
  <si>
    <t>BITS-Pilani Hyderabad, HUB: Quantum Computing HUB,IISC</t>
  </si>
  <si>
    <t>(+91) 8008547840</t>
  </si>
  <si>
    <t>ravikiran.y@hyderabad.bits-pilani.ac.in</t>
  </si>
  <si>
    <t>Asst Professor</t>
  </si>
  <si>
    <t>Hyderabad</t>
  </si>
  <si>
    <t>TG 3 Design and Demonstration of a Highly Scalable Quantum Computer using Semiconducting Qubits</t>
  </si>
  <si>
    <t>Prasana</t>
  </si>
  <si>
    <t>Sahoo</t>
  </si>
  <si>
    <t>QMD/IIT Delhi Hub</t>
  </si>
  <si>
    <t>(+91) 7894525638</t>
  </si>
  <si>
    <t>prasanasahoo@gmail.com</t>
  </si>
  <si>
    <t>Kharagpur</t>
  </si>
  <si>
    <t>IIT Delhi</t>
  </si>
  <si>
    <t>TG2: Wafer-scale Emitter and Detector Arrays for Multi-wavelength RoomTemperature Photonic Quantum Technologie</t>
  </si>
  <si>
    <t>Prof. Rajesh</t>
  </si>
  <si>
    <t>Kumar</t>
  </si>
  <si>
    <t>QMD/ IITR</t>
  </si>
  <si>
    <t>(+91) 9643028327</t>
  </si>
  <si>
    <t>rajesh.kumar@ph.iitr.ac.in</t>
  </si>
  <si>
    <t>Roorkee</t>
  </si>
  <si>
    <t>TG3:WaveguideandIntegratedQuantumPhotonics</t>
  </si>
  <si>
    <t>Aditya SG</t>
  </si>
  <si>
    <t>Vyas</t>
  </si>
  <si>
    <t>QMD Foundation</t>
  </si>
  <si>
    <t>(+91) 9214094775</t>
  </si>
  <si>
    <t>ceo@qmdhub.co.in</t>
  </si>
  <si>
    <t>Delhi</t>
  </si>
  <si>
    <t>Natarajan</t>
  </si>
  <si>
    <t>Venkatachalam</t>
  </si>
  <si>
    <t>(91) 9943195161</t>
  </si>
  <si>
    <t>natarajan@setsindia.net</t>
  </si>
  <si>
    <t>Scientist E</t>
  </si>
  <si>
    <t>SET</t>
  </si>
  <si>
    <t>QuILA</t>
  </si>
  <si>
    <t>(+91) 9943195161</t>
  </si>
  <si>
    <t>SETS</t>
  </si>
  <si>
    <t>Siddharth</t>
  </si>
  <si>
    <t>Tallur</t>
  </si>
  <si>
    <t>Qmet/IIT Bombay</t>
  </si>
  <si>
    <t>(+91) 8291020571</t>
  </si>
  <si>
    <t>stallur@ee.iitb.ac.in</t>
  </si>
  <si>
    <t>TG 3 Kasturi Saha</t>
  </si>
  <si>
    <t>Phani</t>
  </si>
  <si>
    <t>Peddibhotla</t>
  </si>
  <si>
    <t>Qmet</t>
  </si>
  <si>
    <t>(+91) 8978535980</t>
  </si>
  <si>
    <t>phani@iiserb.ac.in</t>
  </si>
  <si>
    <t>Asst. Prof.</t>
  </si>
  <si>
    <t>TG 2 Saikat Ghosh</t>
  </si>
  <si>
    <t>Tanmoy</t>
  </si>
  <si>
    <t>Basu</t>
  </si>
  <si>
    <t>Quantum Sensing/TCG CREST</t>
  </si>
  <si>
    <t>(+91) 9040227037</t>
  </si>
  <si>
    <t>tanmoy.basu@tcgcrest.org</t>
  </si>
  <si>
    <t>Kolkata</t>
  </si>
  <si>
    <t>Santanu</t>
  </si>
  <si>
    <t>Talukder</t>
  </si>
  <si>
    <t>QMet</t>
  </si>
  <si>
    <t>(+91) 9632716218</t>
  </si>
  <si>
    <t>santanu@iiserb.ac.in</t>
  </si>
  <si>
    <t>Ambarish</t>
  </si>
  <si>
    <t>Ghosh</t>
  </si>
  <si>
    <t>IISc</t>
  </si>
  <si>
    <t>(95350) 22265</t>
  </si>
  <si>
    <t>ambarish@iisc.ac.in</t>
  </si>
  <si>
    <t>Professor</t>
  </si>
  <si>
    <t>Bangalore</t>
  </si>
  <si>
    <t>Venkata Jayasurya</t>
  </si>
  <si>
    <t>Yallapragada</t>
  </si>
  <si>
    <t>IIT Kanpur</t>
  </si>
  <si>
    <t>(+91) 9441885075</t>
  </si>
  <si>
    <t>jayasurya@iitk.ac.in</t>
  </si>
  <si>
    <t>Kanpur</t>
  </si>
  <si>
    <t>TG 1 Anand Jha</t>
  </si>
  <si>
    <t>Kasturi</t>
  </si>
  <si>
    <t>Saha</t>
  </si>
  <si>
    <t>(+91) 8291020871</t>
  </si>
  <si>
    <t>pic@qmettech.com</t>
  </si>
  <si>
    <t>Project Director</t>
  </si>
  <si>
    <t>Bimalendu</t>
  </si>
  <si>
    <t>Deb</t>
  </si>
  <si>
    <t>Quantum sesing</t>
  </si>
  <si>
    <t>(91) 8420265902</t>
  </si>
  <si>
    <t>msbd@iacs.res.in</t>
  </si>
  <si>
    <t>Joyita</t>
  </si>
  <si>
    <t>Banerjee</t>
  </si>
  <si>
    <t>(+91) 8400198218</t>
  </si>
  <si>
    <t>joyita.banerjee@qmettech.com</t>
  </si>
  <si>
    <t>Project Manager</t>
  </si>
  <si>
    <t>Sanjib</t>
  </si>
  <si>
    <t>Dey</t>
  </si>
  <si>
    <t>Quantum Sensing and Metrology/IIT Bombay</t>
  </si>
  <si>
    <t>(+91) 8617433466</t>
  </si>
  <si>
    <t>sanjibd@goa.bits-pilani.ac.in</t>
  </si>
  <si>
    <t>Goa</t>
  </si>
  <si>
    <t>Debapriya</t>
  </si>
  <si>
    <t>Basu Roy</t>
  </si>
  <si>
    <t>(+91) 9432149757</t>
  </si>
  <si>
    <t>dbroy@cse.iitk.ac.in</t>
  </si>
  <si>
    <t>PIPETA: Post Quantum Cryptography</t>
  </si>
  <si>
    <t>Ashish</t>
  </si>
  <si>
    <t>Arora</t>
  </si>
  <si>
    <t>IISER Pune</t>
  </si>
  <si>
    <t>(91) 9892294386</t>
  </si>
  <si>
    <t>ashish.arora@iiserpune.ac.in</t>
  </si>
  <si>
    <t>TG2: Wafer-scale Emitter and Detector Arrays for Multi-wavelength RoomTemperature Photonic Quantum Technologies</t>
  </si>
  <si>
    <t>Sourabh</t>
  </si>
  <si>
    <t>Indian Institute of Science Education and Research, Pune</t>
  </si>
  <si>
    <t>(+91) 9466434900</t>
  </si>
  <si>
    <t>sourabh.jain@students.iiserpune.ac.in</t>
  </si>
  <si>
    <t>Academician</t>
  </si>
  <si>
    <t>Pune, India</t>
  </si>
  <si>
    <t>Abhisek</t>
  </si>
  <si>
    <t>Saidarsan</t>
  </si>
  <si>
    <t>Startup</t>
  </si>
  <si>
    <t>(+91) 6200876020</t>
  </si>
  <si>
    <t>abhisek.saidarsan@students.iiserpune.ac.in</t>
  </si>
  <si>
    <t>Executive Director, Yantram Instruments and Academician</t>
  </si>
  <si>
    <t>Yantram Instruments Pvt Ltd</t>
  </si>
  <si>
    <t>Saikat</t>
  </si>
  <si>
    <t>IIT-Kanpur</t>
  </si>
  <si>
    <t>(+91) 8545043528</t>
  </si>
  <si>
    <t>gsaikat@iitk.ac.in</t>
  </si>
  <si>
    <t>Vishwa</t>
  </si>
  <si>
    <t>Pal</t>
  </si>
  <si>
    <t>Quantum Sensing &amp; Metrology / Indian Institute of Technology Ropar</t>
  </si>
  <si>
    <t>(+91) 9354151479</t>
  </si>
  <si>
    <t>vishwa.pal@iitrpr.ac.in</t>
  </si>
  <si>
    <t>Ropar</t>
  </si>
  <si>
    <t>Sourav</t>
  </si>
  <si>
    <t>Dutta</t>
  </si>
  <si>
    <t>TIFR Mumbai</t>
  </si>
  <si>
    <t>(091) 9538150833</t>
  </si>
  <si>
    <t>sourav.dutta.mr@gmail.com</t>
  </si>
  <si>
    <t>Vinod</t>
  </si>
  <si>
    <t>(+91) 9616137426</t>
  </si>
  <si>
    <t>vinod.kumar@students.iiserpune.ac.in</t>
  </si>
  <si>
    <t>Postdoctoral researcher (NPDF)</t>
  </si>
  <si>
    <t>Aparna</t>
  </si>
  <si>
    <t>Shinde</t>
  </si>
  <si>
    <t>IISER, Pune</t>
  </si>
  <si>
    <t>(+91) 8805037036</t>
  </si>
  <si>
    <t>aparna.shinde@students.iiserpune.ac.in</t>
  </si>
  <si>
    <t>Research Associate</t>
  </si>
  <si>
    <t>Soorya</t>
  </si>
  <si>
    <t>S</t>
  </si>
  <si>
    <t>(+91) 9944902715</t>
  </si>
  <si>
    <t>sooryas@iiserb.ac.in</t>
  </si>
  <si>
    <t>Project Associate 2</t>
  </si>
  <si>
    <t>Chayan</t>
  </si>
  <si>
    <t>Purkait</t>
  </si>
  <si>
    <t>Indian Association for the Cultivation of Science</t>
  </si>
  <si>
    <t>(+91) 9614858613</t>
  </si>
  <si>
    <t>chayanpurkaitcareer@gmail.com</t>
  </si>
  <si>
    <t>Research Associate - III</t>
  </si>
  <si>
    <t>Dhairya</t>
  </si>
  <si>
    <t>Bhandari</t>
  </si>
  <si>
    <t>(+91) 9315947540</t>
  </si>
  <si>
    <t>dhairya.bhandari@students.iiserpune.ac.in</t>
  </si>
  <si>
    <t>Masters Thesis Student</t>
  </si>
  <si>
    <t>QMD IIT DELHI</t>
  </si>
  <si>
    <t>Sarada Prasad</t>
  </si>
  <si>
    <t>Gochhayat</t>
  </si>
  <si>
    <t>IIT Jammu</t>
  </si>
  <si>
    <t>(+91) 9483709878</t>
  </si>
  <si>
    <t>sarada.gochhayat@iitjammu.ac.in</t>
  </si>
  <si>
    <t>Jammu</t>
  </si>
  <si>
    <t>TAHQEECAT</t>
  </si>
  <si>
    <t>Santosh</t>
  </si>
  <si>
    <t>Yachareni</t>
  </si>
  <si>
    <t>(+91) 7702004487</t>
  </si>
  <si>
    <t>yachareni@gmail.com</t>
  </si>
  <si>
    <t>Fellow, Silicon Design</t>
  </si>
  <si>
    <t>AMD</t>
  </si>
  <si>
    <t>Dr. Tejas</t>
  </si>
  <si>
    <t>Naik</t>
  </si>
  <si>
    <t>QMD Foundation, IIT Delhi</t>
  </si>
  <si>
    <t>(+91) 9326530843</t>
  </si>
  <si>
    <t>tejasnaikr@gmail.com</t>
  </si>
  <si>
    <t>Technology Manager</t>
  </si>
  <si>
    <t>Rituraj</t>
  </si>
  <si>
    <t>(+91) 9661043913</t>
  </si>
  <si>
    <t>rituraj@iitk.ac.in</t>
  </si>
  <si>
    <t>ankesh</t>
  </si>
  <si>
    <t>jain</t>
  </si>
  <si>
    <t>Indian Institute of Technology, Delhi</t>
  </si>
  <si>
    <t>(+91) 8448867300</t>
  </si>
  <si>
    <t>ankesh@ee.iitd.ac.in</t>
  </si>
  <si>
    <t>Girish</t>
  </si>
  <si>
    <t>Kulkarni</t>
  </si>
  <si>
    <t>Indian Institute of Technology Ropar</t>
  </si>
  <si>
    <t>(+91) 7054133361</t>
  </si>
  <si>
    <t>girishk@iitrpr.ac.in</t>
  </si>
  <si>
    <t>Rupnagar</t>
  </si>
  <si>
    <t>Praveen</t>
  </si>
  <si>
    <t>Bhallamudi</t>
  </si>
  <si>
    <t>(+91) 7397316470</t>
  </si>
  <si>
    <t>praveen.bhallamudi@iitm.ac.in</t>
  </si>
  <si>
    <t>Assoc. Prof.</t>
  </si>
  <si>
    <t>Bhaskar</t>
  </si>
  <si>
    <t>Kanseri</t>
  </si>
  <si>
    <t>(+91) 9811026412</t>
  </si>
  <si>
    <t>bkanseri@physics.iitd.ac.in</t>
  </si>
  <si>
    <t>Abhay</t>
  </si>
  <si>
    <t>Student</t>
  </si>
  <si>
    <t>Indian Institute of Technology Delhi</t>
  </si>
  <si>
    <t>quantum communication, IIT Madras</t>
  </si>
  <si>
    <t>Umakant</t>
  </si>
  <si>
    <t>Rapol</t>
  </si>
  <si>
    <t>FQCI/IISER-PUNE</t>
  </si>
  <si>
    <t>(+91) 9689908421</t>
  </si>
  <si>
    <t>TG 6 Quantum Computing with Neutral Atoms, Trapped Ions and Related Hybrid Systems</t>
  </si>
  <si>
    <t>Vemuru</t>
  </si>
  <si>
    <t>Subrahmanyam</t>
  </si>
  <si>
    <t>University of Hyderabad</t>
  </si>
  <si>
    <t>(+91) 9450346567</t>
  </si>
  <si>
    <t>vmanisp@uohyd.ac.in</t>
  </si>
  <si>
    <t>Urbasi</t>
  </si>
  <si>
    <t>Sinha</t>
  </si>
  <si>
    <t>Samgnya/RRI Bangalore</t>
  </si>
  <si>
    <t>(+91) 7760959441</t>
  </si>
  <si>
    <t>usinha@rri.res.in</t>
  </si>
  <si>
    <t>Senior Professor</t>
  </si>
  <si>
    <t>QuePRAN</t>
  </si>
  <si>
    <t>Anil</t>
  </si>
  <si>
    <t>Prabhakar</t>
  </si>
  <si>
    <t>(91) 9445007425</t>
  </si>
  <si>
    <t>anil@ee.iitm.ac.in</t>
  </si>
  <si>
    <t>Varun</t>
  </si>
  <si>
    <t>Raghunathan</t>
  </si>
  <si>
    <t>Indian Institute of Science</t>
  </si>
  <si>
    <t>(+91) 8939619026</t>
  </si>
  <si>
    <t>varunr@iisc.ac.in</t>
  </si>
  <si>
    <t>Associate professor</t>
  </si>
  <si>
    <t>IIT Delhi (TG 2): Plaksha University Mohali, Panjab 140306</t>
  </si>
  <si>
    <t>(91) 6290260756</t>
  </si>
  <si>
    <t>praiitr@gmail.com</t>
  </si>
  <si>
    <t>Mohali</t>
  </si>
  <si>
    <t>Deepak</t>
  </si>
  <si>
    <t>Gaur</t>
  </si>
  <si>
    <t>(+91) 9873209432</t>
  </si>
  <si>
    <t>dgaur@cdot.in</t>
  </si>
  <si>
    <t>Scientist-F</t>
  </si>
  <si>
    <t>Centre for Development of Telematics</t>
  </si>
  <si>
    <t>Sarani</t>
  </si>
  <si>
    <t>Bhattacharya</t>
  </si>
  <si>
    <t>MPI: IIT Kharagpur, TG: PIPETA</t>
  </si>
  <si>
    <t>(+91) 9477063861</t>
  </si>
  <si>
    <t>bhattacharya.sarani.iitkgp@gmail.com</t>
  </si>
  <si>
    <t>Rajalakshmi</t>
  </si>
  <si>
    <t>Gurumurthy</t>
  </si>
  <si>
    <t>Rajalakshmi Gurumurthy</t>
  </si>
  <si>
    <t>(+91) 9963071783</t>
  </si>
  <si>
    <t>raji@tifrh.res.in</t>
  </si>
  <si>
    <t>Scientific Officer (F)</t>
  </si>
  <si>
    <t>Saurabh</t>
  </si>
  <si>
    <t>Lodha</t>
  </si>
  <si>
    <t>(+91) 9819927460</t>
  </si>
  <si>
    <t>saurabh.lodha@gmail.com</t>
  </si>
  <si>
    <t>Prabha</t>
  </si>
  <si>
    <t>Mandayam</t>
  </si>
  <si>
    <t>FQCI/IIT Madras</t>
  </si>
  <si>
    <t>(+91) 9445992785</t>
  </si>
  <si>
    <t>prabhamd@physics.iitm.ac.in</t>
  </si>
  <si>
    <t>TG 5 Quantum computers with Superconducting Qubits</t>
  </si>
  <si>
    <t>Sunny</t>
  </si>
  <si>
    <t>Bajaj</t>
  </si>
  <si>
    <t>(91) 9464049546</t>
  </si>
  <si>
    <t>sunny.25phz0023@iitrpr.ac.in</t>
  </si>
  <si>
    <t>Phd Scholar</t>
  </si>
  <si>
    <t>IIT Ropar</t>
  </si>
  <si>
    <t>Raja</t>
  </si>
  <si>
    <t>Mondal</t>
  </si>
  <si>
    <t>(91) 8101504217</t>
  </si>
  <si>
    <t>raja.25phz0021@iitrpr.ac.in</t>
  </si>
  <si>
    <t>PhD Scholar</t>
  </si>
  <si>
    <t>Shailendra K.</t>
  </si>
  <si>
    <t>Varshney</t>
  </si>
  <si>
    <t>IIT Kharagpur (QMD Hub)</t>
  </si>
  <si>
    <t>(+91) 9732926003</t>
  </si>
  <si>
    <t>skvarshney@ece.iitkgp.ac.in</t>
  </si>
  <si>
    <t>Akshay</t>
  </si>
  <si>
    <t>(+91) 9611396194</t>
  </si>
  <si>
    <t>anaik@iisc.ac.in</t>
  </si>
  <si>
    <t>Rahul</t>
  </si>
  <si>
    <t>Singh</t>
  </si>
  <si>
    <t>Indian Institute of Technology, Bombay</t>
  </si>
  <si>
    <t>(91) 9004059586</t>
  </si>
  <si>
    <t>rahuls_ee@iitb.ac.in</t>
  </si>
  <si>
    <t>TG 4 Development of a 50-qubit quantum information processor with electron spins in silicon</t>
  </si>
  <si>
    <t>Neethu</t>
  </si>
  <si>
    <t>K</t>
  </si>
  <si>
    <t>(91) 9048656723</t>
  </si>
  <si>
    <t>staff.neethu@iitrpr.ac.in</t>
  </si>
  <si>
    <t>Postdoctoral Fellow</t>
  </si>
  <si>
    <t>Prosenjit</t>
  </si>
  <si>
    <t>Sen</t>
  </si>
  <si>
    <t>(+91) 7406890351</t>
  </si>
  <si>
    <t>prosenjits@iisc.ac.in</t>
  </si>
  <si>
    <t>Vijay A</t>
  </si>
  <si>
    <t>Ramanujan</t>
  </si>
  <si>
    <t>FQCI</t>
  </si>
  <si>
    <t>(+91) 9849153980</t>
  </si>
  <si>
    <t>vijay@qcinnovation.co.in</t>
  </si>
  <si>
    <t>SAMARESH</t>
  </si>
  <si>
    <t>DAS</t>
  </si>
  <si>
    <t>IIT DELHI</t>
  </si>
  <si>
    <t>(91) 9899130814</t>
  </si>
  <si>
    <t>samareshdas@care.iitd.ac.in</t>
  </si>
  <si>
    <t>IISc Banglore</t>
  </si>
  <si>
    <t>Sarda Prasad</t>
  </si>
  <si>
    <t>Madhu</t>
  </si>
  <si>
    <t>Thalakulam</t>
  </si>
  <si>
    <t>FQCI/IISER Thiruvananthapuram</t>
  </si>
  <si>
    <t>(91) 9497785983</t>
  </si>
  <si>
    <t>madhu@iisertvm.ac.in</t>
  </si>
  <si>
    <t>Thiruvananthapuram</t>
  </si>
  <si>
    <t>Senthil Kumar</t>
  </si>
  <si>
    <t>M</t>
  </si>
  <si>
    <t>(+91) 9427048883</t>
  </si>
  <si>
    <t>senthiliist@gmail.com</t>
  </si>
  <si>
    <t>LPI NQM</t>
  </si>
  <si>
    <t>SAC, ISRO</t>
  </si>
  <si>
    <t>Ahmedabad</t>
  </si>
  <si>
    <t>SBQKD - ISRO</t>
  </si>
  <si>
    <t>Dr. Avinash</t>
  </si>
  <si>
    <t>Lahgere</t>
  </si>
  <si>
    <t>(91) 9711611954</t>
  </si>
  <si>
    <t>alahgere@iitk.ac.in</t>
  </si>
  <si>
    <t>Shaji</t>
  </si>
  <si>
    <t>Quantum Computing Hub - TG4 - IISER TVM (Member Institute)</t>
  </si>
  <si>
    <t>(+91) 9446460011</t>
  </si>
  <si>
    <t>shaji@iisertvm.ac.in</t>
  </si>
  <si>
    <t>Hrdya</t>
  </si>
  <si>
    <t>Joshi</t>
  </si>
  <si>
    <t>(+91) 9920944310</t>
  </si>
  <si>
    <t>hrdya.joshi@gmail.com</t>
  </si>
  <si>
    <t>Project Student</t>
  </si>
  <si>
    <t>Tata Institute of Fundamental Research</t>
  </si>
  <si>
    <t>Shankar Kumar</t>
  </si>
  <si>
    <t>Selvaraja</t>
  </si>
  <si>
    <t>(91) 9481283513</t>
  </si>
  <si>
    <t>shankarks@iisc.ac.in</t>
  </si>
  <si>
    <t>Dixit</t>
  </si>
  <si>
    <t>Quantum Computing/IIT Delhi</t>
  </si>
  <si>
    <t>(+91) 8373905693</t>
  </si>
  <si>
    <t>adixit@ee.iitd.ac.in</t>
  </si>
  <si>
    <t>Parvendra</t>
  </si>
  <si>
    <t>IITM CDOT Samgnya Technologies Foundation/IIT Delhi</t>
  </si>
  <si>
    <t>(+91) 7505086612</t>
  </si>
  <si>
    <t>parvendra@iitd.ac.in</t>
  </si>
  <si>
    <t>Aayush</t>
  </si>
  <si>
    <t>Gupta</t>
  </si>
  <si>
    <t>(91) 9265586559</t>
  </si>
  <si>
    <t>eez258198@ee.iitd.ac.in</t>
  </si>
  <si>
    <t>PhD student</t>
  </si>
  <si>
    <t>Mohanty</t>
  </si>
  <si>
    <t>(+91) 8093883170</t>
  </si>
  <si>
    <t>rahul.mohanty@tifr.res.in</t>
  </si>
  <si>
    <t>Research Scholar</t>
  </si>
  <si>
    <t>Tata Institute Of Fundamental Research</t>
  </si>
  <si>
    <t>Satyabrata</t>
  </si>
  <si>
    <t>Baidya</t>
  </si>
  <si>
    <t>(+91) 6296149390</t>
  </si>
  <si>
    <t>satyabrata.baidya@tifr.res.in</t>
  </si>
  <si>
    <t>Quantum sensing,iit bombay</t>
  </si>
  <si>
    <t>Saptarishi</t>
  </si>
  <si>
    <t>Chaudhuri</t>
  </si>
  <si>
    <t>FQCI / RRI</t>
  </si>
  <si>
    <t>(91) 7259899430</t>
  </si>
  <si>
    <t>srishic@rri.res.in</t>
  </si>
  <si>
    <t>Veeresh</t>
  </si>
  <si>
    <t>QMET Tech/ IIT Bombay</t>
  </si>
  <si>
    <t>(+91) 9108878742</t>
  </si>
  <si>
    <t>veeresh@iitb.ac.in</t>
  </si>
  <si>
    <t>Anand</t>
  </si>
  <si>
    <t>Jha</t>
  </si>
  <si>
    <t>(+91) 9621423993</t>
  </si>
  <si>
    <t>akjha@iitk.ac.in</t>
  </si>
  <si>
    <t>Kolin</t>
  </si>
  <si>
    <t>Paul</t>
  </si>
  <si>
    <t>(+91) 9891942310</t>
  </si>
  <si>
    <t>kolin.paul@gmail.com</t>
  </si>
  <si>
    <t>Henry</t>
  </si>
  <si>
    <t>Sukumar</t>
  </si>
  <si>
    <t>(+91) 9886660658</t>
  </si>
  <si>
    <t>henrys@cdac.in</t>
  </si>
  <si>
    <t>Scientist F</t>
  </si>
  <si>
    <t>C-DAC</t>
  </si>
  <si>
    <t>Vikas</t>
  </si>
  <si>
    <t>R</t>
  </si>
  <si>
    <t>(+91) 9071320921</t>
  </si>
  <si>
    <t>vikasramaswamy@cdac.in</t>
  </si>
  <si>
    <t>Project Engineer</t>
  </si>
  <si>
    <t>Centre for Development of Advanced Computing</t>
  </si>
  <si>
    <t>VIKAS</t>
  </si>
  <si>
    <t>Uditendu</t>
  </si>
  <si>
    <t>Mukhopadhyay</t>
  </si>
  <si>
    <t>Computing Hub</t>
  </si>
  <si>
    <t>(+91) 9163063487</t>
  </si>
  <si>
    <t>uditendu@iitb.ac.in</t>
  </si>
  <si>
    <t>Assistant Professor (MPI in TG4)</t>
  </si>
  <si>
    <t>Foram</t>
  </si>
  <si>
    <t>P Shingala</t>
  </si>
  <si>
    <t>(+91) 9962485837</t>
  </si>
  <si>
    <t>foram@setsindia.net</t>
  </si>
  <si>
    <t>Scientist</t>
  </si>
  <si>
    <t>Society for Electronic Transactions and Security(SETS)</t>
  </si>
  <si>
    <t>Sandeep Kumar</t>
  </si>
  <si>
    <t>Goyal</t>
  </si>
  <si>
    <t>Quantum Communication/ IISER Mohali</t>
  </si>
  <si>
    <t>(+91) 8572879340</t>
  </si>
  <si>
    <t>skgoyal@iisermohali.ac.in</t>
  </si>
  <si>
    <t>Devarshi Mrinal</t>
  </si>
  <si>
    <t>Das</t>
  </si>
  <si>
    <t>FQCI T-Hub / IIT Ropar</t>
  </si>
  <si>
    <t>(+91) 7738221277</t>
  </si>
  <si>
    <t>devarshi.das@iitrpr.ac.in</t>
  </si>
  <si>
    <t>Rupnagar, Punjab</t>
  </si>
  <si>
    <t>Vaibhav Pratap</t>
  </si>
  <si>
    <t>(91) 7829635748</t>
  </si>
  <si>
    <t>svaibhav@cdac.in</t>
  </si>
  <si>
    <t>Scientist 'E'</t>
  </si>
  <si>
    <t>CDAC Bangalore</t>
  </si>
  <si>
    <t>Quantum Communication TG1/ SETS Chennai</t>
  </si>
  <si>
    <t>SELVAGANGAI</t>
  </si>
  <si>
    <t>C</t>
  </si>
  <si>
    <t>Society for Electronic Transactions and Security</t>
  </si>
  <si>
    <t>(+91) 6379301132</t>
  </si>
  <si>
    <t>selvagangi@setsindia.net</t>
  </si>
  <si>
    <t>Scientist C</t>
  </si>
  <si>
    <t>Dr. Anil prabhakar</t>
  </si>
  <si>
    <t>Foundation for QC Innovation (FQCI)</t>
  </si>
  <si>
    <t>Scientist 'C'</t>
  </si>
  <si>
    <t>Rajamani</t>
  </si>
  <si>
    <t>Vijayaraghavan</t>
  </si>
  <si>
    <t>FQCI, IISc Bengaluru</t>
  </si>
  <si>
    <t>(+91) 9967167467</t>
  </si>
  <si>
    <t>r.vijay@tifr.res.in</t>
  </si>
  <si>
    <t>Ravi</t>
  </si>
  <si>
    <t>Pant</t>
  </si>
  <si>
    <t>IISER Thiruvananthapuram</t>
  </si>
  <si>
    <t>(+91) 8136810732</t>
  </si>
  <si>
    <t>rpant@iisertvm.ac.in</t>
  </si>
  <si>
    <t>Trivandrum</t>
  </si>
  <si>
    <t>Anirban</t>
  </si>
  <si>
    <t>Mitra</t>
  </si>
  <si>
    <t>TG3/I.I.T, Roorkee</t>
  </si>
  <si>
    <t>(91) 8927280951</t>
  </si>
  <si>
    <t>anirban.mitra@ph.iitr.ac.in</t>
  </si>
  <si>
    <t>Dr Raghavan</t>
  </si>
  <si>
    <t>EASWARAN</t>
  </si>
  <si>
    <t>IITM C-DOT</t>
  </si>
  <si>
    <t>(+91) 7542957634</t>
  </si>
  <si>
    <t>raghavanke@iitp.ac.in</t>
  </si>
  <si>
    <t>Associate Professor IIT Patna</t>
  </si>
  <si>
    <t>Patna</t>
  </si>
  <si>
    <t>John</t>
  </si>
  <si>
    <t>Jesudasan</t>
  </si>
  <si>
    <t>TIFR</t>
  </si>
  <si>
    <t>(+91) 9869279569</t>
  </si>
  <si>
    <t>johnj.tifr@gmail.com</t>
  </si>
  <si>
    <t>Scientific Officer 'E'</t>
  </si>
  <si>
    <t>Pooja</t>
  </si>
  <si>
    <t>Gunjal</t>
  </si>
  <si>
    <t>(+91) 8010538448</t>
  </si>
  <si>
    <t>poojagunjal1212@gmail.com</t>
  </si>
  <si>
    <t>JRF</t>
  </si>
  <si>
    <t>Anupam</t>
  </si>
  <si>
    <t>Patra</t>
  </si>
  <si>
    <t>(+91) 8910915773</t>
  </si>
  <si>
    <t>anupam.patra.137@tcgcrest.org</t>
  </si>
  <si>
    <t>TCG CREST</t>
  </si>
  <si>
    <t>IIT Delhi (TG 2)</t>
  </si>
  <si>
    <t>(+91) 6290260756</t>
  </si>
  <si>
    <t>MOHALI</t>
  </si>
  <si>
    <t>Amitangshu</t>
  </si>
  <si>
    <t>(+91) 7384523610</t>
  </si>
  <si>
    <t>amitangshu@cse.iitk.ac.in</t>
  </si>
  <si>
    <t>Prof. Phani Kumar</t>
  </si>
  <si>
    <t>Qmet/IISER Bhopal</t>
  </si>
  <si>
    <t>(91) 8978535980</t>
  </si>
  <si>
    <t>Dubey</t>
  </si>
  <si>
    <t>dpralekh@iiserb.ac.in</t>
  </si>
  <si>
    <t>PhD Student</t>
  </si>
  <si>
    <t>Deepa</t>
  </si>
  <si>
    <t>(+91) 9811026413</t>
  </si>
  <si>
    <t>qbitonix@gmail.com</t>
  </si>
  <si>
    <t>Managing Director</t>
  </si>
  <si>
    <t>Qbitonix Technologies</t>
  </si>
  <si>
    <t>Tejas</t>
  </si>
  <si>
    <t>Arijit</t>
  </si>
  <si>
    <t>Sharma</t>
  </si>
  <si>
    <t>IIT TIRUPATI</t>
  </si>
  <si>
    <t>(+91) 9810875287</t>
  </si>
  <si>
    <t>arijit@iittp.ac.in</t>
  </si>
  <si>
    <t>ASSOCIATE PROFESSOR</t>
  </si>
  <si>
    <t>TIRUPATI</t>
  </si>
  <si>
    <t>Debdeep</t>
  </si>
  <si>
    <t>IIT Kharagpur</t>
  </si>
  <si>
    <t>(+91) 7478792350</t>
  </si>
  <si>
    <t>debdeep.mukhopadhyay@gmail.com</t>
  </si>
  <si>
    <t>Asso Dean R&amp;D and Professor, CSE</t>
  </si>
  <si>
    <t>Pratap</t>
  </si>
  <si>
    <t>Raychaudhuri</t>
  </si>
  <si>
    <t>TIFR mumbai</t>
  </si>
  <si>
    <t>(+91) 9869303774</t>
  </si>
  <si>
    <t>pratap@tifr.res.in</t>
  </si>
  <si>
    <t>Sr. Professor</t>
  </si>
  <si>
    <t>QMet IITB, IISER Bhopal</t>
  </si>
  <si>
    <t>Foundation of Quantum Computing</t>
  </si>
  <si>
    <t>D S</t>
  </si>
  <si>
    <t>Rawal</t>
  </si>
  <si>
    <t>(91) 9818013936</t>
  </si>
  <si>
    <t>dsrawal15@gmail.com</t>
  </si>
  <si>
    <t>Outstanding Scientist</t>
  </si>
  <si>
    <t>SSPL DRDO</t>
  </si>
  <si>
    <t>TG1: Development ofOn-DemandSinglePhotonEmitters, SinglePhotonAvalancheDetectors,High-FrequencyDevices andInP-BasedEpitaxialSemiconductors</t>
  </si>
  <si>
    <t>Roopa</t>
  </si>
  <si>
    <t>J</t>
  </si>
  <si>
    <t>(91) 9739815213</t>
  </si>
  <si>
    <t>roopaj@iisc.ac.in</t>
  </si>
  <si>
    <t>Kanhaiya</t>
  </si>
  <si>
    <t>Pandey</t>
  </si>
  <si>
    <t>Quantum Computing Hub, IITG</t>
  </si>
  <si>
    <t>(+91) 8761942326</t>
  </si>
  <si>
    <t>kanhaiyapandey@iitg.ac.in</t>
  </si>
  <si>
    <t>Guwahati</t>
  </si>
  <si>
    <t>Jaydeep Kumar</t>
  </si>
  <si>
    <t>Quantum Computing/ IISc</t>
  </si>
  <si>
    <t>(+91) 9886324567</t>
  </si>
  <si>
    <t>basu@iisc.ac.in</t>
  </si>
  <si>
    <t>Professor, MPI</t>
  </si>
  <si>
    <t>C M</t>
  </si>
  <si>
    <t>Chandrashekar</t>
  </si>
  <si>
    <t>(+91) 9566000369</t>
  </si>
  <si>
    <t>chandracm@iisc.ac.in</t>
  </si>
  <si>
    <t>Apoorva</t>
  </si>
  <si>
    <t>Patel</t>
  </si>
  <si>
    <t>(+91) 9741294802</t>
  </si>
  <si>
    <t>adpatel@iisc.ac.in</t>
  </si>
  <si>
    <t>purnapal@iisc.ac.in</t>
  </si>
  <si>
    <t>(+91) 9870127569</t>
  </si>
  <si>
    <t>aksy@iisc.ac.in</t>
  </si>
  <si>
    <t>Assistant professor</t>
  </si>
  <si>
    <t>bengaluru</t>
  </si>
  <si>
    <t>duplicate entry</t>
  </si>
  <si>
    <t>Duttatreya</t>
  </si>
  <si>
    <t>Not applicable</t>
  </si>
  <si>
    <t>(+91) 9430247335</t>
  </si>
  <si>
    <t>p20230037@goa.bits-pilani.ac.in</t>
  </si>
  <si>
    <t>PhD student (Not funded by NQM), Want to present a poster</t>
  </si>
  <si>
    <t>Neeraj</t>
  </si>
  <si>
    <t>Goel</t>
  </si>
  <si>
    <t>(+91) 9818562842</t>
  </si>
  <si>
    <t>neeraj@iitrpr.ac.in</t>
  </si>
  <si>
    <t>Ashok</t>
  </si>
  <si>
    <t>Mohapatra</t>
  </si>
  <si>
    <t>(+91) 8249520154</t>
  </si>
  <si>
    <t>Bhubaneswar</t>
  </si>
  <si>
    <t>Vijay</t>
  </si>
  <si>
    <t>Lotti</t>
  </si>
  <si>
    <t>(+91) 8008064789</t>
  </si>
  <si>
    <t>vijay@armourqi.com</t>
  </si>
  <si>
    <t>Director</t>
  </si>
  <si>
    <t>ArmourQi Innovations pvt Ltd.,</t>
  </si>
  <si>
    <t>Visakhapatnam</t>
  </si>
  <si>
    <t>Subbarao</t>
  </si>
  <si>
    <t>Govardhanagiri</t>
  </si>
  <si>
    <t>(+91) 7893744992</t>
  </si>
  <si>
    <t>subba_gs@yahoo.com</t>
  </si>
  <si>
    <t>Senior Director</t>
  </si>
  <si>
    <t>Awanish</t>
  </si>
  <si>
    <t>(+91) 8762262341</t>
  </si>
  <si>
    <t>opcawanish@iitd.ac.in</t>
  </si>
  <si>
    <t>TG 1 Photonics quantum processor development</t>
  </si>
  <si>
    <t>Asvija</t>
  </si>
  <si>
    <t>B</t>
  </si>
  <si>
    <t>(+91) 9591146515</t>
  </si>
  <si>
    <t>asvijab@cdac.in</t>
  </si>
  <si>
    <t>CDAC</t>
  </si>
  <si>
    <t>Mukesh</t>
  </si>
  <si>
    <t>(+91) 8437166802</t>
  </si>
  <si>
    <t>mukesh.kr@iiti.ac.in</t>
  </si>
  <si>
    <t>Indore</t>
  </si>
  <si>
    <t>Duplicate entry</t>
  </si>
  <si>
    <t>Pathak</t>
  </si>
  <si>
    <t>(+91) 9717066494</t>
  </si>
  <si>
    <t>anirban.pathak@gmail.com</t>
  </si>
  <si>
    <t>Noida</t>
  </si>
  <si>
    <t>TG 2 Programmable photonic quantum computing using qubits encoded in different degrees of freedom of a photon</t>
  </si>
  <si>
    <t>Prof. Rajendra</t>
  </si>
  <si>
    <t>(91) 95827 74442</t>
  </si>
  <si>
    <t>rsingh@physics.iitd.ac.in</t>
  </si>
  <si>
    <t>TG 1 Development of on-demand single photon emitters, single photon avalanche detectors, high-frequency devices and InP based Epitaxial semiconductors</t>
  </si>
  <si>
    <t>Vishvendra Singh</t>
  </si>
  <si>
    <t>Poonia</t>
  </si>
  <si>
    <t>(+91) 8097426535</t>
  </si>
  <si>
    <t>vishvendra@ece.iitr.ac.in</t>
  </si>
  <si>
    <t>Ajay</t>
  </si>
  <si>
    <t>Wasan</t>
  </si>
  <si>
    <t>(097205) 43906</t>
  </si>
  <si>
    <t>awasan@ph.iitr.ac.in</t>
  </si>
  <si>
    <t>Kausik</t>
  </si>
  <si>
    <t>Majumdar</t>
  </si>
  <si>
    <t>(+91) 7022665421</t>
  </si>
  <si>
    <t>kausikm@iisc.ac.in</t>
  </si>
  <si>
    <t>Rakesh</t>
  </si>
  <si>
    <t>Palani</t>
  </si>
  <si>
    <t>(+91) 9606310202</t>
  </si>
  <si>
    <t>rakesh@ee.iitd.ac.in</t>
  </si>
  <si>
    <t>Darshak</t>
  </si>
  <si>
    <t>Bhatt</t>
  </si>
  <si>
    <t>(+91) 8879179443</t>
  </si>
  <si>
    <t>darshak.bhatt@ece.iitr.ac.in</t>
  </si>
  <si>
    <t>kumarpawan.ece@gmail.com</t>
  </si>
  <si>
    <t>Project Consultant</t>
  </si>
  <si>
    <t>pawan.ece@sric.iitr.ac.in</t>
  </si>
  <si>
    <t>Sai</t>
  </si>
  <si>
    <t>Vinjanampathy</t>
  </si>
  <si>
    <t>(022) 25767592</t>
  </si>
  <si>
    <t>sai.vinjanampathy@iitb.ac.in</t>
  </si>
  <si>
    <t>IISc Bangalore | IIT Bombay</t>
  </si>
  <si>
    <t>TG 5 Quantum computers with Superconducting Qubits | TG 2 Saikat Ghosh</t>
  </si>
  <si>
    <t>Vibhor</t>
  </si>
  <si>
    <t>(+91) 9108157495</t>
  </si>
  <si>
    <t>v.singh@iisc.ac.in</t>
  </si>
  <si>
    <t>Chetan Singh</t>
  </si>
  <si>
    <t>Thakur</t>
  </si>
  <si>
    <t>(+91) 9731680833</t>
  </si>
  <si>
    <t>csthakur@iisc.ac.in</t>
  </si>
  <si>
    <t>dr.satishseth@iisermohali.ac.in</t>
  </si>
  <si>
    <t>UTPAL</t>
  </si>
  <si>
    <t>ROY</t>
  </si>
  <si>
    <t>(+91) 8102156405</t>
  </si>
  <si>
    <t>uroy@iitp.ac.in</t>
  </si>
  <si>
    <t>Neha</t>
  </si>
  <si>
    <t>(+91) 8968450569</t>
  </si>
  <si>
    <t>nehasharmablp461@gmail.com</t>
  </si>
  <si>
    <t>Baladitya</t>
  </si>
  <si>
    <t>Suri</t>
  </si>
  <si>
    <t>(+91) 9481186223</t>
  </si>
  <si>
    <t>surib@iisc.ac.in</t>
  </si>
  <si>
    <t>Rejish Nath</t>
  </si>
  <si>
    <t>Gopinathan Rejani</t>
  </si>
  <si>
    <t>(020) 25908165</t>
  </si>
  <si>
    <t>rejish@iiserpune.ac.in</t>
  </si>
  <si>
    <t>Kedar</t>
  </si>
  <si>
    <t>Khare</t>
  </si>
  <si>
    <t>(91) 9868278691</t>
  </si>
  <si>
    <t>kedark@opc.iitd.ac.in</t>
  </si>
  <si>
    <t>Aishwarya</t>
  </si>
  <si>
    <t>L</t>
  </si>
  <si>
    <t>(+91) 9482152737</t>
  </si>
  <si>
    <t>aishwarya1820@gmail.com</t>
  </si>
  <si>
    <t>Project associate</t>
  </si>
  <si>
    <t>Mithilesh Kumar</t>
  </si>
  <si>
    <t>PARIT</t>
  </si>
  <si>
    <t>(+91) 9162730455</t>
  </si>
  <si>
    <t>mithilesh_25ps76@iitp.ac.in</t>
  </si>
  <si>
    <t>Post Doctoral Research Associate</t>
  </si>
  <si>
    <t>Prof. Raghavan k easwaran</t>
  </si>
  <si>
    <t>Count of Registration Status</t>
  </si>
  <si>
    <t>Column Labels</t>
  </si>
  <si>
    <t>Row Labels</t>
  </si>
  <si>
    <t>No</t>
  </si>
  <si>
    <t>Yes</t>
  </si>
  <si>
    <t>Grand Total</t>
  </si>
  <si>
    <t xml:space="preserve"> </t>
  </si>
  <si>
    <t>Sr. No.</t>
  </si>
  <si>
    <t>Department</t>
  </si>
  <si>
    <t>Institute</t>
  </si>
  <si>
    <t>Email</t>
  </si>
  <si>
    <t>Role</t>
  </si>
  <si>
    <t>Validation</t>
  </si>
  <si>
    <t>Dr. A R Harish</t>
  </si>
  <si>
    <t>Department of Electrical Engineering</t>
  </si>
  <si>
    <t>Indian Institute of Technology Kanpur</t>
  </si>
  <si>
    <t>arh@iitk.ac.in</t>
  </si>
  <si>
    <t>MPI</t>
  </si>
  <si>
    <t>Dr. Akshay Naik</t>
  </si>
  <si>
    <t>Centre for Nano Science and Engineering</t>
  </si>
  <si>
    <t>Indian Institute of Science Bangalore</t>
  </si>
  <si>
    <t>Dr. Akshay Singh</t>
  </si>
  <si>
    <t>Department of Physics</t>
  </si>
  <si>
    <t>Dr. Amit Kumar Verma</t>
  </si>
  <si>
    <t>amitkver@iitk.ac.in</t>
  </si>
  <si>
    <t>Dr. Amitangshu Pal</t>
  </si>
  <si>
    <t>Department of Computer Science and Engineering</t>
  </si>
  <si>
    <t>Dr. Anil Shaji</t>
  </si>
  <si>
    <t>School of Physics</t>
  </si>
  <si>
    <t>Indian Institute of Science Education and Research Thiruvananthapuram</t>
  </si>
  <si>
    <t> shaji@iisertvm.ac.in</t>
  </si>
  <si>
    <t>Dr. Anirban Mitra</t>
  </si>
  <si>
    <t>Indian Institute of Technology Roorkee</t>
  </si>
  <si>
    <t>Dr. Ankur Raina</t>
  </si>
  <si>
    <t>Department of Electrical Engineering and Computer Science</t>
  </si>
  <si>
    <t>Indian Institute of Science Education and Research Bhopal</t>
  </si>
  <si>
    <t xml:space="preserve">Dr. Anshul Jaiswal </t>
  </si>
  <si>
    <t>Department of Electronics and Communication Engineering</t>
  </si>
  <si>
    <t>anshul.jaiswal@ece.iitr.ac.in</t>
  </si>
  <si>
    <t>Dr. Anshuman Kumar</t>
  </si>
  <si>
    <t>anshuman.kumar@iitb.ac. in</t>
  </si>
  <si>
    <t>Dr. Arijit Sharma</t>
  </si>
  <si>
    <t>Indian Institute of Technology Tirupati</t>
  </si>
  <si>
    <t>Dr. Arnab Khan</t>
  </si>
  <si>
    <t>arnabk@iiserb.ac.in</t>
  </si>
  <si>
    <t>TG 1 Kasturi Saha</t>
  </si>
  <si>
    <t>Dr. Ashok K Mohapatra</t>
  </si>
  <si>
    <t>School of Physical Sciences</t>
  </si>
  <si>
    <t>National Institue of Science Education and Research Bhubaneswar</t>
  </si>
  <si>
    <t>Dr. Ashok Kumar</t>
  </si>
  <si>
    <t>Indian Institute of Space Science and Technology (IIST), DoS</t>
  </si>
  <si>
    <t>ashokkumar@iist.ac.in</t>
  </si>
  <si>
    <t>TG 5: Satellite based Quantum Key Distribution</t>
  </si>
  <si>
    <t>Dr. Awanish Pandey</t>
  </si>
  <si>
    <t>Optics and Photonics Centre</t>
  </si>
  <si>
    <t>awanish@ee.iitd.ac.in</t>
  </si>
  <si>
    <t>Dr. B Prasanna Venkatesh</t>
  </si>
  <si>
    <t>Indian Institute of Technology Gandhinagar</t>
  </si>
  <si>
    <t>prasanna.b@iitgn.ac.in</t>
  </si>
  <si>
    <t>Dr. Baladitya Suri</t>
  </si>
  <si>
    <t>Department of Instrumentation and Applied Physics</t>
  </si>
  <si>
    <t>Dr. Bhaskar Kanseri</t>
  </si>
  <si>
    <t>LPI</t>
  </si>
  <si>
    <t>Dr. Bimalendu Deb</t>
  </si>
  <si>
    <t>Dr. Chandan Samanta</t>
  </si>
  <si>
    <t>csamanta@iiserb.ac.in</t>
  </si>
  <si>
    <t>Dr. D. S. Rawal</t>
  </si>
  <si>
    <t>Solid State Physics laboratory (SSPL), Defense Research Development Organization (DRDO)</t>
  </si>
  <si>
    <t>ds-rawal.sspl@gov.in</t>
  </si>
  <si>
    <t>Dr. Debapriya Basu Roy</t>
  </si>
  <si>
    <t>Dr. Debdeep Mukhopadhyay</t>
  </si>
  <si>
    <t>Indian Institute of Technology Kharagpur</t>
  </si>
  <si>
    <t>debdeep@cse.iitkgp.ac.in</t>
  </si>
  <si>
    <t>Dr. Dhiman Saha</t>
  </si>
  <si>
    <t>Indian Institute of Technology Bhilai</t>
  </si>
  <si>
    <t>dhiman@iitbhilai.ac.in</t>
  </si>
  <si>
    <t>Dr. G Rajalakshmi</t>
  </si>
  <si>
    <t>Department of Chemical Sciences</t>
  </si>
  <si>
    <t>Tata Institute of Fundamental Research Hyderabad</t>
  </si>
  <si>
    <t>Dr. Gannavarpu Rajshekhar</t>
  </si>
  <si>
    <t>gshekhar@iitk.ac.in</t>
  </si>
  <si>
    <t>TG 3 Anand Jha</t>
  </si>
  <si>
    <t>Dr. Girish Vasant Kulkarni</t>
  </si>
  <si>
    <t xml:space="preserve">Dr. K R Yogesh Prasad </t>
  </si>
  <si>
    <t>Communication Systems Group</t>
  </si>
  <si>
    <t>ISRO Satellite Center</t>
  </si>
  <si>
    <t>yogeshprasad@isro.gov.in</t>
  </si>
  <si>
    <t>Dr. Kanhaiya Pandey</t>
  </si>
  <si>
    <t>Indian Institute of Technology Guwahati</t>
  </si>
  <si>
    <t>Dr. Kasturi Saha</t>
  </si>
  <si>
    <t xml:space="preserve">Dr. Kaushik Saha </t>
  </si>
  <si>
    <t>ksaha@ee.iitd.ac.in</t>
  </si>
  <si>
    <t>Dr. Madhu Thalakulam</t>
  </si>
  <si>
    <t>Dr. Manik Banik</t>
  </si>
  <si>
    <t>Department of Physics of Complex Systems</t>
  </si>
  <si>
    <t>S.N. Bose National Centre for Basic Sciences</t>
  </si>
  <si>
    <t>manik.banik@bose.res.in</t>
  </si>
  <si>
    <t>Dr. Mrigank Sharad</t>
  </si>
  <si>
    <t>Rajendra Mishra School of Entrepreneurship</t>
  </si>
  <si>
    <t>mrigank@see.iitk.gp.ac.in</t>
  </si>
  <si>
    <t>Dr. Naresh Kumar Emani</t>
  </si>
  <si>
    <t>Indian Institute of Technology Hyderabad</t>
  </si>
  <si>
    <t>naresh@ee.iith.ac.in</t>
  </si>
  <si>
    <t>Dr. Natarajan Venkatachalam</t>
  </si>
  <si>
    <t>Quantum Technology</t>
  </si>
  <si>
    <t>Society for Electronic Transactions and Security (SETS)</t>
  </si>
  <si>
    <t>Dr. Neel Kanth Kundu</t>
  </si>
  <si>
    <t>Centre for Applied Research in Electronics (CARE)</t>
  </si>
  <si>
    <t xml:space="preserve">Dr. Parvendra Kumar </t>
  </si>
  <si>
    <t>parvendra@opc.iitd.ac.in</t>
  </si>
  <si>
    <t>Dr. Phani Kumar Peddibhotla</t>
  </si>
  <si>
    <t>Dr. Prabha Mandayam</t>
  </si>
  <si>
    <t>Indian Institute of Technology Madras</t>
  </si>
  <si>
    <t>Dr. Pradeep Kiran Sarvepalli</t>
  </si>
  <si>
    <t>pradeep@ee.iitm.ac.in</t>
  </si>
  <si>
    <t> </t>
  </si>
  <si>
    <t>Dr. Prasana Kumar Sahoo</t>
  </si>
  <si>
    <t>Materials Science Centre</t>
  </si>
  <si>
    <t>prasana@matsc.iitkgp.ac.in</t>
  </si>
  <si>
    <t>Dr. Prosenjit Sen</t>
  </si>
  <si>
    <t>Dr. Raghavan K Easwaran</t>
  </si>
  <si>
    <t>Indian Institute of Technology Patna</t>
  </si>
  <si>
    <t>Dr. Rahul Singh</t>
  </si>
  <si>
    <t>TG 4 Development of a 50-qubit quantum information processor with electron spins in silicon | TG 1 Kasturi Saha</t>
  </si>
  <si>
    <t>Dr. Rajamani Vijayaraghavan</t>
  </si>
  <si>
    <t>Condensed Matter Physics and Materials Science</t>
  </si>
  <si>
    <t>Tata Institute of Fundamental Research Mumbai</t>
  </si>
  <si>
    <t>rvijay26@gmail.com</t>
  </si>
  <si>
    <t>Dr. Rajesh Kumar</t>
  </si>
  <si>
    <t>rajesh.kumar@bt.iitr.ac.in</t>
  </si>
  <si>
    <t>Dr. Rakesh Kumar Palani</t>
  </si>
  <si>
    <t>palanirakesh@gmail.com</t>
  </si>
  <si>
    <t>yes</t>
  </si>
  <si>
    <t>Dr. Rejish Nath Gopinathan Rejani</t>
  </si>
  <si>
    <t>Indian Institute of Science Education and Research Pune</t>
  </si>
  <si>
    <t>Dr. Rituraj</t>
  </si>
  <si>
    <t>Dr. Rohit Chaurasiya</t>
  </si>
  <si>
    <t>Indian Institute of Technology Jammu</t>
  </si>
  <si>
    <t>rohit.chaurasiya@iitjammu.ac.in</t>
  </si>
  <si>
    <t>Dr. Sai Vinjanampathy</t>
  </si>
  <si>
    <t>sai@quantumlah.org</t>
  </si>
  <si>
    <t>Dr. Saikat Ghosh</t>
  </si>
  <si>
    <t>Dr. Sandeep Kumar Goyal</t>
  </si>
  <si>
    <t>Department of Physical Sciences</t>
  </si>
  <si>
    <t>Indian Institute of Science Education and Research Mohali</t>
  </si>
  <si>
    <t xml:space="preserve">Dr. Sandeep Kumar Singh </t>
  </si>
  <si>
    <t>sandeep.singh@ece.iitr.ac.in</t>
  </si>
  <si>
    <t>Dr. Sanjib Dey</t>
  </si>
  <si>
    <t>Birla Institute of Technology and Science Pilani, Goa</t>
  </si>
  <si>
    <t>Dr. Santanu Talukder</t>
  </si>
  <si>
    <t>Dr. Sapam Ranjita Chanu</t>
  </si>
  <si>
    <t>Department of Physics CELP</t>
  </si>
  <si>
    <t>sranjita@iitk.ac.in</t>
  </si>
  <si>
    <t>Dr. Saptarishi Chaudhuri</t>
  </si>
  <si>
    <t>Department of Light and Matter Physics</t>
  </si>
  <si>
    <t>Raman Research Institute</t>
  </si>
  <si>
    <t>Dr. Sarani Bhattacharya</t>
  </si>
  <si>
    <t>sarani@cse.iitkgp.ac.in</t>
  </si>
  <si>
    <t>Dr. Saravana Kumar M</t>
  </si>
  <si>
    <t>Department of Electronics &amp; Communication Engineering</t>
  </si>
  <si>
    <t>saravana.kumar@ece.iitr.ac.in</t>
  </si>
  <si>
    <t>Dr. Sayan Choudhury</t>
  </si>
  <si>
    <t>Harish Chandra Research Institute, Prayagraj</t>
  </si>
  <si>
    <t>sayanchoudhury@hri.res.in</t>
  </si>
  <si>
    <t>Dr. Senthil Kumar M</t>
  </si>
  <si>
    <t>ISRO</t>
  </si>
  <si>
    <t>Space Application Centre, ISRO</t>
  </si>
  <si>
    <t>senthil@sac.isro.gov.in</t>
  </si>
  <si>
    <t>Dr. Shilpi Gupta</t>
  </si>
  <si>
    <t>shilpig@iitk.ac.in</t>
  </si>
  <si>
    <t>Dr. Siddharth Tallur</t>
  </si>
  <si>
    <t>Dr. Sourav Dutta</t>
  </si>
  <si>
    <t>Department of Nuclear and Atomic Physics</t>
  </si>
  <si>
    <t>Dr. Suddhasatta Mahapatra</t>
  </si>
  <si>
    <t>suddhasatta.mahapatra@gmail.com</t>
  </si>
  <si>
    <t>Dr. Sudharsanan Srinivasan</t>
  </si>
  <si>
    <t>sudharsanan@ee.iitm.ac.in</t>
  </si>
  <si>
    <t>Dr. Sudipta Dubey</t>
  </si>
  <si>
    <t>sudiptad@iitk.ac.in</t>
  </si>
  <si>
    <t>Dr. Sumit Gautam</t>
  </si>
  <si>
    <t>Indian Institute of Technology Indore</t>
  </si>
  <si>
    <t>sumit.gautam@iiti.ac.in</t>
  </si>
  <si>
    <t>Dr. Tanmoy Basu</t>
  </si>
  <si>
    <t>Centre for Quantum Engineering Research and Education</t>
  </si>
  <si>
    <t>TCG Centres for Research and Education in Science and Technology</t>
  </si>
  <si>
    <t>Dr. Uditendu Mukhopadhyay</t>
  </si>
  <si>
    <t>uditendu.mukhopadhyay@gmail.com</t>
  </si>
  <si>
    <t>Dr. Utpal Roy</t>
  </si>
  <si>
    <t>Dr. Veeresh Vidyadhar Deshpande</t>
  </si>
  <si>
    <t>Dr. Vemuru Subrahmanyam</t>
  </si>
  <si>
    <t>Dr. Venkata Jayasurya Yallapragada</t>
  </si>
  <si>
    <t>Dr. Vibhor Singh</t>
  </si>
  <si>
    <t>Dr. Vidya Praveen Bhallamudi</t>
  </si>
  <si>
    <t>Dr. Vini Gautam</t>
  </si>
  <si>
    <t>vini@iisc.ac.in</t>
  </si>
  <si>
    <t>Dr. Vishal Ranjan</t>
  </si>
  <si>
    <t>vranjan@tifrh.res.in</t>
  </si>
  <si>
    <t>Dr. Vishvendra Singh Poonia</t>
  </si>
  <si>
    <t>Dr. Vishwa Pal</t>
  </si>
  <si>
    <t>Dr.Veeresh Vidyadhar Deshpande</t>
  </si>
  <si>
    <t>deshveeresh@gmail.com</t>
  </si>
  <si>
    <t>Er. Adarsh Jain</t>
  </si>
  <si>
    <t>Quantum Systems Technology Division</t>
  </si>
  <si>
    <t>Er. Chandra Prakash Sharma</t>
  </si>
  <si>
    <t>Quantum Technology Group</t>
  </si>
  <si>
    <t>Er. K Kalpana</t>
  </si>
  <si>
    <t>Opto Quantum Communication Program</t>
  </si>
  <si>
    <t>Er. Pankaj Kumar Gupta</t>
  </si>
  <si>
    <t>Quantum Electronics and Photonics Division</t>
  </si>
  <si>
    <t>Mr. Aneesh Kumar K B</t>
  </si>
  <si>
    <t>Department of Cyber Security</t>
  </si>
  <si>
    <t>Centre for Development of Advanced Computing, Thiruvananthapuram</t>
  </si>
  <si>
    <t>aneesh_kb@cdac.in</t>
  </si>
  <si>
    <t>Mr. Deepak Gaur</t>
  </si>
  <si>
    <t>TSOC and PQC Group</t>
  </si>
  <si>
    <t>Mr. Hari Babu Pasupuleti</t>
  </si>
  <si>
    <t>Quantum Technologies</t>
  </si>
  <si>
    <t>Centre for Development of Advanced Computing, Bangalore</t>
  </si>
  <si>
    <t>hari@cdac.in</t>
  </si>
  <si>
    <t>Mr. Prashant Chugh</t>
  </si>
  <si>
    <t>prashant@cdot.in</t>
  </si>
  <si>
    <t>Mr. S Henry Sukumar</t>
  </si>
  <si>
    <t>Mr. Vaibhav Pratap Singh</t>
  </si>
  <si>
    <t>abhisek.dixit@gmail.com</t>
  </si>
  <si>
    <t>Prof. Aditi Sen De</t>
  </si>
  <si>
    <t>aditi@hri.res.in</t>
  </si>
  <si>
    <t>Prof. Ajay Wasan</t>
  </si>
  <si>
    <t>Prof. Ambarish Ghosh</t>
  </si>
  <si>
    <t>Prof. Amrita Bhattacharya</t>
  </si>
  <si>
    <t>Department of Metallurgical Engineering and Materials Science</t>
  </si>
  <si>
    <t>b_amrita@iitb.ac.in</t>
  </si>
  <si>
    <t>Prof. Anand Kumar Jha</t>
  </si>
  <si>
    <t>Prof. Anil Prabhakar</t>
  </si>
  <si>
    <t>Prof. Anirban Pathak</t>
  </si>
  <si>
    <t>Department of Physics and Materials Science Engineering</t>
  </si>
  <si>
    <t>Jaypee Institute of Information Technology</t>
  </si>
  <si>
    <t>anirban.pathak@jiit.ac.in</t>
  </si>
  <si>
    <t>Prof. Ankesh Jain</t>
  </si>
  <si>
    <t>Prof. Ankur Gupta</t>
  </si>
  <si>
    <t>ankurgupta@care.iitd.ac.in</t>
  </si>
  <si>
    <t>Prof. Apoorva Dayaram Patel</t>
  </si>
  <si>
    <t>Centre for High Energy Physics</t>
  </si>
  <si>
    <t>Prof. Ashish Arora</t>
  </si>
  <si>
    <t>Prof. Avinash Lahgere</t>
  </si>
  <si>
    <t>Prof. Avirup Dasgupta</t>
  </si>
  <si>
    <t>avirup@ece.iitr.ac.in</t>
  </si>
  <si>
    <t>Prof. Bhaskaran Muralidharan</t>
  </si>
  <si>
    <t>bm@ee.iitb.ac.in</t>
  </si>
  <si>
    <t>Prof. Chandrashekar C M</t>
  </si>
  <si>
    <t>Department of Electronic Systems Engineering</t>
  </si>
  <si>
    <t>Prof. Chetan Singh Thakur</t>
  </si>
  <si>
    <t>Prof. Darshak Bhatt</t>
  </si>
  <si>
    <t>Prof. Deepa Venkitesh</t>
  </si>
  <si>
    <t>deepa@ee.iitm.ac.in</t>
  </si>
  <si>
    <t>Prof. Devarshi Mrinal Das</t>
  </si>
  <si>
    <t xml:space="preserve">
devarshi.das@iitrpr.ac.in</t>
  </si>
  <si>
    <t>Prof. Dibyajyoti Ghosh</t>
  </si>
  <si>
    <t>Department of Materials Science and Engineering &amp; Department of Chemistry</t>
  </si>
  <si>
    <t>dibyajyoti@mse.iitd.ac.in</t>
  </si>
  <si>
    <t>Prof. Dipankar Saha</t>
  </si>
  <si>
    <t>dsaha@ee.iitb.ac.in</t>
  </si>
  <si>
    <t>TG1: Development ofOn-DemandSinglePhotonEmitters,
SinglePhotonAvalancheDetectors,High-FrequencyDevices
andInP-BasedEpitaxialSemiconductors</t>
  </si>
  <si>
    <t xml:space="preserve">Prof. Gopalan Rajaraman </t>
  </si>
  <si>
    <t>Department of Chemistry</t>
  </si>
  <si>
    <t>rajaraman@chem.iitb.ac.in</t>
  </si>
  <si>
    <t>Prof. Harshwardhan Wanare</t>
  </si>
  <si>
    <t>hwanare@iitk.ac.in</t>
  </si>
  <si>
    <t>Prof. Jaydeep Kumar Basu</t>
  </si>
  <si>
    <t>Prof. Jayeeta Bhattacharyya</t>
  </si>
  <si>
    <t>jayeeta@iitm.ac.in</t>
  </si>
  <si>
    <t>Prof. Karun Rawat</t>
  </si>
  <si>
    <t>karun.rawat@ece.iitr.ac.in</t>
  </si>
  <si>
    <t>Prof. Kausik Majumdar</t>
  </si>
  <si>
    <t>Department of Electrical and Communication Engineering</t>
  </si>
  <si>
    <t>Prof. Kedar Khare</t>
  </si>
  <si>
    <t>Prof. Kolin Paul</t>
  </si>
  <si>
    <t>Prof. Krishna B Balasubramanian</t>
  </si>
  <si>
    <t>Department of Material Science and Engineering</t>
  </si>
  <si>
    <t>bkrishna@mse.iitd.ac.in</t>
  </si>
  <si>
    <t>Prof. Krishna Jagannathan</t>
  </si>
  <si>
    <t>krishnaj@ee.iitm.ac.in</t>
  </si>
  <si>
    <t>Prof. M S Ramachandra Rao</t>
  </si>
  <si>
    <t>msrrao@iitm.ac.in</t>
  </si>
  <si>
    <t>Prof. M V Panduranga Rao</t>
  </si>
  <si>
    <t>mvp@cse.iith.ac.in</t>
  </si>
  <si>
    <t>Prof. Maniraj Mahalingam</t>
  </si>
  <si>
    <t>maniraj@iitb.ac.in</t>
  </si>
  <si>
    <t>Prof. Mukesh Kumar</t>
  </si>
  <si>
    <t>Prof. Neeraj Goel</t>
  </si>
  <si>
    <t>Prof. Nirat Ray</t>
  </si>
  <si>
    <t>Department of Materials Science and Engineering</t>
  </si>
  <si>
    <t>nirat@mse.iitd.ac.in</t>
  </si>
  <si>
    <t>Prof. Pintu Das</t>
  </si>
  <si>
    <t>pintu@physics.iitd.ac.in</t>
  </si>
  <si>
    <t>Prof. Pratap Raychaudhuri</t>
  </si>
  <si>
    <t>Derpartment of Condensed Matter Physics and Material Science</t>
  </si>
  <si>
    <t>pratap.raychaudhuri2020@gmail.com</t>
  </si>
  <si>
    <t>Prof. Praveen Kumar</t>
  </si>
  <si>
    <t>School of Materials Sciences</t>
  </si>
  <si>
    <t>praveen.kumar@iacs.res.in</t>
  </si>
  <si>
    <t>Prof. Preeti Ranjan Panda</t>
  </si>
  <si>
    <t>panda@cse.iitd.ac.in</t>
  </si>
  <si>
    <t>Prof. Rahul Mishra</t>
  </si>
  <si>
    <t>ramis@care.iitd.ac.in</t>
  </si>
  <si>
    <t>Prof. Rajan Jha</t>
  </si>
  <si>
    <t>School of Basic Sciences</t>
  </si>
  <si>
    <t>Indian Institute of Technology Bhubaneswar</t>
  </si>
  <si>
    <t>rjha@iitbbs.ac.in</t>
  </si>
  <si>
    <t>Prof. Rajendra Singh</t>
  </si>
  <si>
    <t>Rajendra.Singh@physics.iitd.ac.in</t>
  </si>
  <si>
    <t>TG 1 Development ofOn-DemandSinglePhotonEmitters,
SinglePhotonAvalancheDetectors,High-FrequencyDevices
andInP-BasedEpitaxialSemiconductors</t>
  </si>
  <si>
    <t>Prof. Ravi Pant</t>
  </si>
  <si>
    <t>Prof. Ravikiran Yeleswarapu</t>
  </si>
  <si>
    <t>Department of Electrical and Electronics Engineering</t>
  </si>
  <si>
    <t>Birla Institute of Technology and Science Pilani, Hyderabad Campus</t>
  </si>
  <si>
    <t>Prof. Samaresh Das</t>
  </si>
  <si>
    <t>Centre for Applied Research in Electronics</t>
  </si>
  <si>
    <t>samaresh.das@gmail.com</t>
  </si>
  <si>
    <t>Prof. Samit K Ray</t>
  </si>
  <si>
    <t>physkr@phy.iitkgp.ac.in</t>
  </si>
  <si>
    <t>Prof. Santanu Manna</t>
  </si>
  <si>
    <t>mannasan@ee.iitd.ac.in</t>
  </si>
  <si>
    <t>slodha@ee.iitb.ac.in</t>
  </si>
  <si>
    <t>Prof. Shailendra K Varshney</t>
  </si>
  <si>
    <t>Department of Electronics &amp; Electrical Communication Engineering</t>
  </si>
  <si>
    <t>Prof. Shankar Kumar Selvaraja</t>
  </si>
  <si>
    <t>Center for Nano Science and Engineering</t>
  </si>
  <si>
    <t>Prof. Shobhana Narasimhan</t>
  </si>
  <si>
    <t>Theoretical Sciences Unit</t>
  </si>
  <si>
    <t>Jawaharlal Nehru Centre for Advanced Scientific Research (JNCASR)</t>
  </si>
  <si>
    <t>shobhana@jncasr.ac.in</t>
  </si>
  <si>
    <t>Prof. Sudeb Dasgupta</t>
  </si>
  <si>
    <t>sudebdg@gmail.com</t>
  </si>
  <si>
    <t>Prof. Supravat Karak</t>
  </si>
  <si>
    <t>Department of Energy Science and Engineering</t>
  </si>
  <si>
    <t>supravat@dese.iitd.ac.in</t>
  </si>
  <si>
    <t>Prof. Swaroop Ganguly</t>
  </si>
  <si>
    <t>sganguly@ee.iitb.ac.in</t>
  </si>
  <si>
    <t>Prof. Tanushree H Choudhury</t>
  </si>
  <si>
    <t>tanuhc@iitb.ac.in</t>
  </si>
  <si>
    <t>Prof. Umakant Damodar Rapol</t>
  </si>
  <si>
    <t>Prof. Urbasi Sinha</t>
  </si>
  <si>
    <t>Prof. Varun Raghunathan</t>
  </si>
  <si>
    <t>Prof. Vimal Bhatia</t>
  </si>
  <si>
    <t>vbhatia@iiti.ac.in</t>
  </si>
  <si>
    <t>Prof. Yogesh Singh Chauhan</t>
  </si>
  <si>
    <t xml:space="preserve">
chauhan@iitk.ac.in</t>
  </si>
  <si>
    <t xml:space="preserve">Dr. Sarada Prasad Gochhayat </t>
  </si>
  <si>
    <t>Email ID</t>
  </si>
  <si>
    <t xml:space="preserve">Hub </t>
  </si>
  <si>
    <t>TG Name</t>
  </si>
  <si>
    <t>Registration status</t>
  </si>
  <si>
    <t>Physics</t>
  </si>
  <si>
    <t>Communication Systems</t>
  </si>
  <si>
    <t>EE</t>
  </si>
  <si>
    <t>Ashok Kumar</t>
  </si>
  <si>
    <t>IIST</t>
  </si>
  <si>
    <t>Instrumentation and Applied Physics</t>
  </si>
  <si>
    <t xml:space="preserve">
neeraj@iitrpr.ac.in</t>
  </si>
  <si>
    <t>Nano Science and Engineering</t>
  </si>
  <si>
    <t>CSE</t>
  </si>
  <si>
    <t>Chemical Sciences</t>
  </si>
  <si>
    <t>Physics of Complex Systems</t>
  </si>
  <si>
    <t>School of Entrepreneurship</t>
  </si>
  <si>
    <t>Materials Science</t>
  </si>
  <si>
    <t>EE &amp; CS</t>
  </si>
  <si>
    <t>Electronis</t>
  </si>
  <si>
    <t>Sarada Prasad Gochhayat</t>
  </si>
  <si>
    <t>Vaibhav Pratap Singh</t>
  </si>
  <si>
    <t>CDAC, Bengaluru</t>
  </si>
  <si>
    <t>Sumit Gautam</t>
  </si>
  <si>
    <t>IIT Indore</t>
  </si>
  <si>
    <t>CP Sharma</t>
  </si>
  <si>
    <t>SAC</t>
  </si>
  <si>
    <t>Pankaj Gupta</t>
  </si>
  <si>
    <t>Adarsh Jain</t>
  </si>
  <si>
    <t>K. Kalpana</t>
  </si>
  <si>
    <t>URSC</t>
  </si>
  <si>
    <t>Yogesh Prasad</t>
  </si>
  <si>
    <t xml:space="preserve">Deepa Venkitesh </t>
  </si>
  <si>
    <t xml:space="preserve">Sr. No </t>
  </si>
  <si>
    <t xml:space="preserve">Particulars </t>
  </si>
  <si>
    <t xml:space="preserve">Qty </t>
  </si>
  <si>
    <t xml:space="preserve">Days </t>
  </si>
  <si>
    <t xml:space="preserve">  Rate   </t>
  </si>
  <si>
    <t xml:space="preserve"> Amount  </t>
  </si>
  <si>
    <t xml:space="preserve">A </t>
  </si>
  <si>
    <t xml:space="preserve">Research Park Building IIT  </t>
  </si>
  <si>
    <t xml:space="preserve">  </t>
  </si>
  <si>
    <t xml:space="preserve">IITB &amp; RP Campus Décor  </t>
  </si>
  <si>
    <t xml:space="preserve">8x8 ft Entry Gate Backdrop  </t>
  </si>
  <si>
    <t xml:space="preserve">10x8 ft IIT Main Gate Flex  </t>
  </si>
  <si>
    <t xml:space="preserve">10x12 x2 Entry Gate Arch  </t>
  </si>
  <si>
    <t xml:space="preserve">4x8 ft Welcome standee  </t>
  </si>
  <si>
    <t xml:space="preserve">200x6 ft Red Carpet for Ground floor  </t>
  </si>
  <si>
    <t xml:space="preserve">16x8 ft Registration Desk Backdrop with Table branding </t>
  </si>
  <si>
    <t xml:space="preserve">9th Floor &amp; Auditorium Décor  </t>
  </si>
  <si>
    <t xml:space="preserve">Queue Manager </t>
  </si>
  <si>
    <t xml:space="preserve">16x8ft Checkered Booth </t>
  </si>
  <si>
    <t>Stage Flower Décor</t>
  </si>
  <si>
    <t xml:space="preserve">Flower Stands for Entry  </t>
  </si>
  <si>
    <t xml:space="preserve">200x6 ft Red Carpet  </t>
  </si>
  <si>
    <t xml:space="preserve">4x7.5 ft Branding Panel  </t>
  </si>
  <si>
    <t xml:space="preserve">Logo Scroll </t>
  </si>
  <si>
    <t xml:space="preserve">Wooden Chair </t>
  </si>
  <si>
    <t>Coffee Tables  (Square) (Ref - Pre Summit)</t>
  </si>
  <si>
    <t xml:space="preserve">Podium With Branding 2x4 ft </t>
  </si>
  <si>
    <t xml:space="preserve">16x4x1.5 ft Led wall Riser </t>
  </si>
  <si>
    <t xml:space="preserve">12 x 6 ft Stage wings  </t>
  </si>
  <si>
    <t xml:space="preserve">LED Wall  </t>
  </si>
  <si>
    <t xml:space="preserve">16x10 ft Led wall Screen  </t>
  </si>
  <si>
    <t xml:space="preserve">Laptop  </t>
  </si>
  <si>
    <t xml:space="preserve">Splitter Switcher  </t>
  </si>
  <si>
    <t xml:space="preserve">led wall Operator </t>
  </si>
  <si>
    <t>Comfort Screens</t>
  </si>
  <si>
    <t xml:space="preserve">9th Floor Semi Open Terrace Area </t>
  </si>
  <si>
    <t xml:space="preserve">Tables with chairs  </t>
  </si>
  <si>
    <t xml:space="preserve">Coolers </t>
  </si>
  <si>
    <t xml:space="preserve">Cocktail Tables </t>
  </si>
  <si>
    <t xml:space="preserve">Full Breakout Stall Setup &amp; Posters Wall </t>
  </si>
  <si>
    <t>Flex backdrop (ref ATMAN 2)</t>
  </si>
  <si>
    <r>
      <t xml:space="preserve">6x8 ft Flex Stalls Setup </t>
    </r>
    <r>
      <rPr>
        <b/>
        <sz val="11"/>
        <color rgb="FFFF0000"/>
        <rFont val="Calibri"/>
        <family val="2"/>
      </rPr>
      <t xml:space="preserve">Option 4 </t>
    </r>
    <r>
      <rPr>
        <sz val="11"/>
        <color rgb="FFFF0000"/>
        <rFont val="Calibri"/>
        <family val="2"/>
      </rPr>
      <t xml:space="preserve"> </t>
    </r>
  </si>
  <si>
    <t xml:space="preserve">8x2 ft Side Cover  </t>
  </si>
  <si>
    <t xml:space="preserve">42-inch Television  </t>
  </si>
  <si>
    <t>Carpet for pods</t>
  </si>
  <si>
    <t xml:space="preserve">4x2x2.5 ft Table with Branding with 2 Chairs  </t>
  </si>
  <si>
    <t>Poster Wall</t>
  </si>
  <si>
    <t xml:space="preserve">60x 7.5 ft Flex branding for A0 Poster wall </t>
  </si>
  <si>
    <t xml:space="preserve">10th Floor Décor (Food Area Décor) </t>
  </si>
  <si>
    <t xml:space="preserve">Cooler  </t>
  </si>
  <si>
    <t xml:space="preserve">Tables For Catering  </t>
  </si>
  <si>
    <t>Sun Board for VIP dining</t>
  </si>
  <si>
    <t xml:space="preserve">Round Tables with Covers  </t>
  </si>
  <si>
    <t xml:space="preserve">Chairs with Covers for VIP Seating </t>
  </si>
  <si>
    <t xml:space="preserve">Power Connection for Catering Equipment  </t>
  </si>
  <si>
    <t xml:space="preserve">EVENT COVERAGE  </t>
  </si>
  <si>
    <t xml:space="preserve">Photographer  </t>
  </si>
  <si>
    <t xml:space="preserve">Cinematic Videographer  </t>
  </si>
  <si>
    <t xml:space="preserve">Post Event Highlight Video (3-4Mins) </t>
  </si>
  <si>
    <t xml:space="preserve">Stationery &amp; Accessories </t>
  </si>
  <si>
    <t xml:space="preserve">Mementos for Dignitaries </t>
  </si>
  <si>
    <t xml:space="preserve">Registration/ Welcome Kit </t>
  </si>
  <si>
    <t xml:space="preserve">PVC Badges with Lanyards </t>
  </si>
  <si>
    <t xml:space="preserve">Hostess for Registration  </t>
  </si>
  <si>
    <t xml:space="preserve">Labour and Transportation </t>
  </si>
  <si>
    <t xml:space="preserve">Food  </t>
  </si>
  <si>
    <t xml:space="preserve">Lunch  </t>
  </si>
  <si>
    <t xml:space="preserve">Hi-Tea  </t>
  </si>
  <si>
    <t xml:space="preserve">Tea, Coffee, Sherbat Stall for 2 Days (Water Counters with 20 Lt Jars) </t>
  </si>
  <si>
    <t xml:space="preserve">Total </t>
  </si>
  <si>
    <t xml:space="preserve">Agency fee@10% </t>
  </si>
  <si>
    <t xml:space="preserve">GST@18 % </t>
  </si>
  <si>
    <t xml:space="preserve">Grand Total </t>
  </si>
  <si>
    <t>Name</t>
  </si>
  <si>
    <t>Department/ Institute</t>
  </si>
  <si>
    <t xml:space="preserve">Room Type </t>
  </si>
  <si>
    <t xml:space="preserve">Guesthouse Name </t>
  </si>
  <si>
    <t>No. of Nights</t>
  </si>
  <si>
    <t>Check-in</t>
  </si>
  <si>
    <t>Check-out</t>
  </si>
  <si>
    <t>GH</t>
  </si>
  <si>
    <t>Room Type</t>
  </si>
  <si>
    <t>Rooms Booked</t>
  </si>
  <si>
    <t>Rooms Available</t>
  </si>
  <si>
    <t>JBV Reddy</t>
  </si>
  <si>
    <t>Mission Director</t>
  </si>
  <si>
    <t>DST-NQM</t>
  </si>
  <si>
    <t>Standard</t>
  </si>
  <si>
    <t>Padmavihar</t>
  </si>
  <si>
    <t>Rear Admiral Kunal Rajkumar</t>
  </si>
  <si>
    <t>VSM - Joint Secy</t>
  </si>
  <si>
    <t>Suite</t>
  </si>
  <si>
    <t>Capt(IN) Anil Kumar Singh</t>
  </si>
  <si>
    <t>Director MIC II</t>
  </si>
  <si>
    <t>Vanvihar</t>
  </si>
  <si>
    <t>Dr. Ajai Chowdhry</t>
  </si>
  <si>
    <t>NQM</t>
  </si>
  <si>
    <t>LPI - IIT Madras  Hub</t>
  </si>
  <si>
    <t>Dr. Urbasi Sinha</t>
  </si>
  <si>
    <t>Vijay Rao</t>
  </si>
  <si>
    <t>IITM HGB</t>
  </si>
  <si>
    <t>Mr. S.P. Shukla</t>
  </si>
  <si>
    <t>IITB HGB</t>
  </si>
  <si>
    <t>Mr. Rudra Pratap</t>
  </si>
  <si>
    <t>Mr. Rahul Yadav</t>
  </si>
  <si>
    <t>Ajay Kumar Sood</t>
  </si>
  <si>
    <t>V K Saraswat</t>
  </si>
  <si>
    <t>Swati Rawal Dang</t>
  </si>
  <si>
    <t>Anurag Mishra</t>
  </si>
  <si>
    <t>Joy Mukherjee</t>
  </si>
  <si>
    <t>Bhavani</t>
  </si>
  <si>
    <t>Yatinder Prasad</t>
  </si>
  <si>
    <t>Arindam Ghosh</t>
  </si>
  <si>
    <t>Abhay Karandikar</t>
  </si>
  <si>
    <t>Ashish Dutta</t>
  </si>
  <si>
    <t>DST-Finance</t>
  </si>
  <si>
    <t>Abhisek Dixit</t>
  </si>
  <si>
    <t>LPI - IISc Banglore</t>
  </si>
  <si>
    <t>Dr.Saptarishi Chaudhuri</t>
  </si>
  <si>
    <t>RAMAN RESEARCH INSTITUTE</t>
  </si>
  <si>
    <t>The Institute of Mathematical Sciences </t>
  </si>
  <si>
    <t>SPACE APPLICATION CENTRE (ISRO) </t>
  </si>
  <si>
    <t>LPI - IIT Bombay</t>
  </si>
  <si>
    <t>IIT KANPUR </t>
  </si>
  <si>
    <t>Prof.Anand Kumar Jha</t>
  </si>
  <si>
    <t>Dr. Shailendra Kumar Varshney</t>
  </si>
  <si>
    <t>LPI - IIT Delhi</t>
  </si>
  <si>
    <t>Ravindra Barlingay</t>
  </si>
  <si>
    <t>CEO - IIT Madras</t>
  </si>
  <si>
    <t>Vijay Ramanujan</t>
  </si>
  <si>
    <t>CEO - IISC Bangalore</t>
  </si>
  <si>
    <t>Aditya Vyas</t>
  </si>
  <si>
    <t>CEO - IIT Delhi</t>
  </si>
  <si>
    <t>Pickup</t>
  </si>
  <si>
    <t>Drop-off</t>
  </si>
  <si>
    <t>Travel Date</t>
  </si>
  <si>
    <t>Business Class</t>
  </si>
  <si>
    <t xml:space="preserve">Flight Number </t>
  </si>
  <si>
    <t>Cab Required</t>
  </si>
  <si>
    <t xml:space="preserve">Date </t>
  </si>
  <si>
    <t xml:space="preserve">Arrival Time </t>
  </si>
  <si>
    <t>Terminal</t>
  </si>
  <si>
    <t>Take off Time</t>
  </si>
  <si>
    <t>Pick-up time from IITB</t>
  </si>
  <si>
    <t>6E 6706</t>
  </si>
  <si>
    <t>T2</t>
  </si>
  <si>
    <t>T1</t>
  </si>
  <si>
    <t>Hostel</t>
  </si>
  <si>
    <t>Sajimon</t>
  </si>
  <si>
    <t>P C</t>
  </si>
  <si>
    <t>(+91) 9846849349</t>
  </si>
  <si>
    <t>pcsaji@cdac.in</t>
  </si>
  <si>
    <t>Scientist-E</t>
  </si>
  <si>
    <t>THIRUVANANTHAPURAM,</t>
  </si>
  <si>
    <t>Name of the Hub</t>
  </si>
  <si>
    <t>Sr. no.</t>
  </si>
  <si>
    <t>Name on the Fascia</t>
  </si>
  <si>
    <t>Team Member 1 Name - First Name</t>
  </si>
  <si>
    <t>Team Member 1 Name - Last Name</t>
  </si>
  <si>
    <t>Gender</t>
  </si>
  <si>
    <t>Email Address</t>
  </si>
  <si>
    <t>Phone Number</t>
  </si>
  <si>
    <t>Team Member 2 Name - First Name</t>
  </si>
  <si>
    <t>Team Member 2 Name - Last Name</t>
  </si>
  <si>
    <t>Upload Product/Technology Image (300 dpi)</t>
  </si>
  <si>
    <t>Technology Focus</t>
  </si>
  <si>
    <t>Power Requirements</t>
  </si>
  <si>
    <t>Brief Description of Your Startup and Product (in 200 words)</t>
  </si>
  <si>
    <t>Neutral atom and trapped ion quantum computer</t>
  </si>
  <si>
    <t>Male</t>
  </si>
  <si>
    <t>(+91) 7259899430</t>
  </si>
  <si>
    <t>https://www.jotform.com/uploads/Qmet/260672027148052/6494586702916808495/Display.png</t>
  </si>
  <si>
    <t>Atom and ion based quantum computing</t>
  </si>
  <si>
    <t>Our technology consortium focuses on indigenously developing neutral atom and trapped ion based quantum computing platform. While two cloud accessible system will soon be operational and work towards demonstration of the technology readiness is ongoing, we also intend to productise both the full stack system as well as many peripheral components.
During the AQC, there will be one 3D scaled down display unit of the actual set-up hosted at RRI + components developed at IISER Pune, NISER Bhubaneswar and IIT Roorkee and IIT Guwahati.</t>
  </si>
  <si>
    <t>Ghoshal</t>
  </si>
  <si>
    <t>(+91) 7290804546</t>
  </si>
  <si>
    <t>(+91) 9858911301</t>
  </si>
  <si>
    <t>https://www.jotform.com/uploads/Qmet/260672027148052/6495553635606105708/TG3-IITD-Quantum-Computer-Schematic.jpg</t>
  </si>
  <si>
    <t>Quantum Computing</t>
  </si>
  <si>
    <t>3 X 220V</t>
  </si>
  <si>
    <t>To achieve a beyond NISQ (&gt;1000 qubits) quantum computer, high density qubits, passives, and wiring are essential. Silicon CMOS process has the optimum BEOL for such work. With minor tweaks in standard CMOS, a derivative process for fabrication of quantum dot-based qubits can be created, and an all-Silicon Quantum Computer can be realized. In this Technical Group (TG3), we are developing the system at all levels, starting from system-level and then going down to the chip and qubit levels. Our mission objective is to demonstrate a working quantum computer with 50 qubits.</t>
  </si>
  <si>
    <t>Control &amp; Measurement Electronics for Superconducting Qubits</t>
  </si>
  <si>
    <t>https://www.jotform.com/uploads/Qmet/260672027148052/6495812735188358844/ConElec-SuperCQ.jpg</t>
  </si>
  <si>
    <t>Superconducting Qubits</t>
  </si>
  <si>
    <t>4 / 220V</t>
  </si>
  <si>
    <t>We will display prototypes of FPGA based control &amp; measurement electronics, cryogenic filters , and Josephson Parametric Amplifiers</t>
  </si>
  <si>
    <t>Sujai</t>
  </si>
  <si>
    <t>Matta</t>
  </si>
  <si>
    <t>sujaimatta@iisc.ac.in</t>
  </si>
  <si>
    <t>(+91) 9491238120</t>
  </si>
  <si>
    <t>Soumya</t>
  </si>
  <si>
    <t>Asokan</t>
  </si>
  <si>
    <t>Female</t>
  </si>
  <si>
    <t>soumyaasokan@iisc.ac.in</t>
  </si>
  <si>
    <t>(+91) 9567246448</t>
  </si>
  <si>
    <t>https://www.jotform.com/uploads/Qmet/260672027148052/6496277264281228497/6qubit-QC.png</t>
  </si>
  <si>
    <t>Photonic Quantum Computing</t>
  </si>
  <si>
    <t>4 socket, 10Amp 240V</t>
  </si>
  <si>
    <t>It's a device developed at Photonic Quantum Computing TG at IISc. A 6-qubit photonic system with provision for implementing 4 two-qubit gates, 4 single-qubit gates, and generating a 6-qubit maximally entangled state. Image is a representation; it will be packaged.</t>
  </si>
  <si>
    <t>Bharadwaj</t>
  </si>
  <si>
    <t>(+91) 9933832246</t>
  </si>
  <si>
    <t>Varsha</t>
  </si>
  <si>
    <t>Jangir</t>
  </si>
  <si>
    <t>204120010@iitb.ac.in</t>
  </si>
  <si>
    <t>https://www.jotform.com/uploads/Qmet/260672027148052/6496502828185510048/nqm%20sub-low_8300.png</t>
  </si>
  <si>
    <t>Silicon Quantum Dot Spin Qubits</t>
  </si>
  <si>
    <t>NA</t>
  </si>
  <si>
    <t>A suite of advanced cryogenic and qubit-control devices designed to ensure high-fidelity signal integrity and effective noise suppression in quantum experiments. The Cryo Damp-24 is a 24-channel low-pass filter based on a copper powder-epoxy composite, offering a cut-off frequency of 300 MHz for efficient attenuation of high-frequency noise. The μ Shield-12 incorporates 12 isolated DC lines in a compact module, providing comparable filtering performance with enhanced isolation. The San Noise-25 device features a finite ground coplanar waveguide fabricated on sapphire with aluminium, enabling superior thermalization and achieving a cut-off frequency below 100 kHz. Complementing these, the Cryo Pass-L24 is a fully customizable, modular 24-channel cryogenic low-pass filter. For qubit control, the Q-Nest provides a modular PCB system enclosed within a shielding enclosure, supporting 24 DC lines, 8 ohmic lines, and integrated passive filtering. Finally, the Q-CARD-24080601 is a versatile qubit control and readout platform incorporating DC, ohmic, RF, and readout lines, along with environmental shielding, LED integration, and ESD protection mechanisms for robust and reliable operation.</t>
  </si>
  <si>
    <t>I-Hub QTF, IISER Pune</t>
  </si>
  <si>
    <t>SCI-COM SOFTWARE INDIA PRIVATE LIMITED</t>
  </si>
  <si>
    <t>Vaishnavi</t>
  </si>
  <si>
    <t>Vaichal</t>
  </si>
  <si>
    <t>vaishnavi.vaichal@scicomsoftware.com</t>
  </si>
  <si>
    <t>(+91) 7768074457</t>
  </si>
  <si>
    <t>Suhas</t>
  </si>
  <si>
    <t>suhas.kulkarni@scicomsoftware.com</t>
  </si>
  <si>
    <t>(+91) 9403768214</t>
  </si>
  <si>
    <t>https://www.jotform.com/uploads/Qmet/260672027148052/6495522526427438722/IMG_1743.JPEG</t>
  </si>
  <si>
    <t>Instrumentation and Control for Quantum Technology Research and Development</t>
  </si>
  <si>
    <t>SCI-COM was founded in 1998 and has been working in areas such as signal and image processing, high-speed FPGA electronics, Digital Signal Processing and microcontroller-based boards, RF modules, power distribution modules (industrial and MIL-grade), software development, and embedded systems. We also provide independent verification and validation services for DRDO and other PSUs.
iQUANTROL-1.0 is an Instrumentation and Control Unit to be used in Laboratory Setups for Quantum Technology Research and Development. This unit provides a host computer based GUI Application to configure different Instrumentation and Control parameters required by the Laboratory Setup. It has a high performance electronics platform interfaced over ethernet with the host PC to perform real time functions such as high speed signal generation, high speed signal sampling/acquisition, signal processing for signal features estimation, control loops implementation through embedded software and diagnostics/log reports.</t>
  </si>
  <si>
    <t>Prenishq</t>
  </si>
  <si>
    <t>Bodhaditya</t>
  </si>
  <si>
    <t>Santra</t>
  </si>
  <si>
    <t>bodhaditya.santra@gmail.com</t>
  </si>
  <si>
    <t>(+91) 7047373599</t>
  </si>
  <si>
    <t>Shubham</t>
  </si>
  <si>
    <t>Utreja</t>
  </si>
  <si>
    <t>shubhamutreja77@gmail.com</t>
  </si>
  <si>
    <t>(+91) 9829825823</t>
  </si>
  <si>
    <t>https://www.jotform.com/uploads/Qmet/260672027148052/6495799308513351203/Prenishq%20Laser%20Launch%20flyer%20revised.pdf</t>
  </si>
  <si>
    <t>High precision diode laser for quantum computing, sensing, metrology and communication</t>
  </si>
  <si>
    <t>Prenishq Pvt. Ltd., a spin-off from IIT Delhi and supported by the National Quantum Mission manufactures high precision diode lasers for quantum computing, sensing, metrology and communication.
The Prenishq Opal Laser is a high-performance, precision-engineered system designed for quantum research, education, and advanced experiments. With exceptional beam quality, stability, and long-term durability, it’s ideal for seamless integration into scientific and quantum equipment. These lasers stand out for its low cost of ownership, ease of installation, minimal maintenance, light weight, and assured availability to promise. Combining performance, efficiency, and accessibility, Prenishq’s lasers position India at the forefront of laser technology and quantum innovation.</t>
  </si>
  <si>
    <t>QuNu Labs Private Limited</t>
  </si>
  <si>
    <t>Sunil</t>
  </si>
  <si>
    <t>sunil@qnulabs.com</t>
  </si>
  <si>
    <t>(+91) 7899791155</t>
  </si>
  <si>
    <t>https://www.jotform.com/uploads/Qmet/260672027148052/6496353206325463976/QNu%20Product.png</t>
  </si>
  <si>
    <t>Quantum Communication</t>
  </si>
  <si>
    <t>QNu Labs is India’s pioneering quantum cybersecurity company focused on building technologies that protect digital infrastructure from future quantum computing threats. Founded in 2016 and incubated at IIT Madras Research Park, the company’s mission is to make India self-reliant in digital security while enabling a global transition toward quantum-safe communication.
As quantum computing advances, today’s encryption methods such as RSA and ECC will become vulnerable, posing serious risks to governments, financial systems, telecom networks, and critical infrastructure. QNu Labs addresses this challenge through an indigenous ecosystem of quantum-safe technologies that combine hardware and software innovations. Its portfolio includes Armos (Quantum Key Distribution), Tropos (Quantum Random Number Generator), the QShield crypto-agile security platform, and quantum communication chips for secure edge systems.
QNu’s hybrid architecture integrates quantum physics-based security with post-quantum cryptography, enabling organizations to transition to quantum-safe infrastructure without replacing existing systems. These solutions secure communications, data, and identity across sectors such as defence, telecom, banking, and government.
With multiple patents, defence validations, and real-world deployments—including long-distance quantum networks—QNu Labs is positioning India at the forefront of the emerging quantum security era, enabling governments and enterprises to achieve digital sovereignty, long-term data protection, and resilient cybersecurity for the post-quantum world.</t>
  </si>
  <si>
    <t>Prof. Bimalendu deb</t>
  </si>
  <si>
    <t>CANNOT COME</t>
  </si>
  <si>
    <t>Prof. Sourav Dutta</t>
  </si>
  <si>
    <t>Dhruv Kumar Singh</t>
  </si>
  <si>
    <t>CCA - DST</t>
  </si>
  <si>
    <t>Dr. Praveer Asthana</t>
  </si>
  <si>
    <t>HGB</t>
  </si>
  <si>
    <t>Kunj Tandon</t>
  </si>
  <si>
    <t>CEO - IISER Pune</t>
  </si>
  <si>
    <t>Ramya</t>
  </si>
  <si>
    <t>(+91) 7012995466</t>
  </si>
  <si>
    <t>ramya@samgyan.in</t>
  </si>
  <si>
    <t>Head- Capacity Building and Entrepreneurship Developement</t>
  </si>
  <si>
    <t>IITM Samgyan Technologies Foundation</t>
  </si>
  <si>
    <t>Venkata Sudhakar</t>
  </si>
  <si>
    <t>Guduru</t>
  </si>
  <si>
    <t>(+91) 9860064494</t>
  </si>
  <si>
    <t>sudhakar@samgnya.in</t>
  </si>
  <si>
    <t>GM - Technology &amp; Operations</t>
  </si>
  <si>
    <t>Prof. C. M. Chandrashekar</t>
  </si>
  <si>
    <t>Sanchari Chakraborti</t>
  </si>
  <si>
    <t>sancharic@iisc.ac.in</t>
  </si>
  <si>
    <t>Akshai Krishnan T</t>
  </si>
  <si>
    <t>akshait@iisc.ac.in</t>
  </si>
  <si>
    <t>To be merged with Cryogenic electronics for spin qubits</t>
  </si>
  <si>
    <t>Follow-ups ongoing with Hub spocs</t>
  </si>
  <si>
    <t>Tentative agenda ready</t>
  </si>
  <si>
    <t>Budget appoved</t>
  </si>
  <si>
    <t>20 booth locations identified</t>
  </si>
  <si>
    <t>67 Rooms Booked, Awaiting list of attendees from DST/MGB/MTRC</t>
  </si>
  <si>
    <t>Student list to be finalized once poster registrations are received</t>
  </si>
  <si>
    <t>Technical Bulletin</t>
  </si>
  <si>
    <t xml:space="preserve">Joyita/Prasobh + Marketing team </t>
  </si>
  <si>
    <t>Content received from IITB, IISc. Bulletin structure to be decided</t>
  </si>
  <si>
    <t>Poster Presentation Template</t>
  </si>
  <si>
    <t>Rutuja to work on A0 size poster template</t>
  </si>
  <si>
    <t>Students to submit Posters as per template</t>
  </si>
  <si>
    <t>Ruchi</t>
  </si>
  <si>
    <t>Emailers to be sent by 25-26, deadline - April 4</t>
  </si>
  <si>
    <t>Poster Presentation Awards</t>
  </si>
  <si>
    <t>Marketing + Admin</t>
  </si>
  <si>
    <t>DST</t>
  </si>
  <si>
    <t>Maybe</t>
  </si>
  <si>
    <t>Dr. Praveen Bhallamudi</t>
  </si>
  <si>
    <t>MPI - IIT Bombay</t>
  </si>
  <si>
    <t>PR done for budget line items</t>
  </si>
  <si>
    <t>Sanjana</t>
  </si>
  <si>
    <t>Nene</t>
  </si>
  <si>
    <t>(+91) 8355944847</t>
  </si>
  <si>
    <t>sanjana.nene@qmettech.com</t>
  </si>
  <si>
    <t>Nahid</t>
  </si>
  <si>
    <t>Chaudhary</t>
  </si>
  <si>
    <t>(+91) 8076807165</t>
  </si>
  <si>
    <t>technologymanager2@qmdhub.co.in</t>
  </si>
  <si>
    <t>Sarkar</t>
  </si>
  <si>
    <t>(91) 8777327645</t>
  </si>
  <si>
    <t>projectconsultant1@qmdhub.co.in</t>
  </si>
  <si>
    <t>Ishan Jawa</t>
  </si>
  <si>
    <t>Hub Overview</t>
  </si>
  <si>
    <t xml:space="preserve">1 Page </t>
  </si>
  <si>
    <t xml:space="preserve">Tech development </t>
  </si>
  <si>
    <t>Archita</t>
  </si>
  <si>
    <t>Sanjeev</t>
  </si>
  <si>
    <t>Media - PR</t>
  </si>
  <si>
    <t>10 pages</t>
  </si>
  <si>
    <t>ED</t>
  </si>
  <si>
    <t>4 pages</t>
  </si>
  <si>
    <t>HRD</t>
  </si>
  <si>
    <t>3 pages</t>
  </si>
  <si>
    <t>Roadmap</t>
  </si>
  <si>
    <t xml:space="preserve">Tech </t>
  </si>
  <si>
    <t>Description</t>
  </si>
  <si>
    <t>Underlying scientific principle</t>
  </si>
  <si>
    <t>Specifications</t>
  </si>
  <si>
    <t>TRL (Current)</t>
  </si>
  <si>
    <t>Use Cases</t>
  </si>
  <si>
    <t>Outcome/Impact</t>
  </si>
  <si>
    <t>International Collaboration</t>
  </si>
  <si>
    <t>Quanastra Pvt Ltd</t>
  </si>
  <si>
    <t>Vidur</t>
  </si>
  <si>
    <t>Raj</t>
  </si>
  <si>
    <t>vidur.raj@quanastra.com</t>
  </si>
  <si>
    <t>(+91) 9205771590</t>
  </si>
  <si>
    <t>Mohan</t>
  </si>
  <si>
    <t>s21027@students.iitmandi.ac.in</t>
  </si>
  <si>
    <t>(+91) 7678310811</t>
  </si>
  <si>
    <t>https://www.jotform.com/uploads/Qmet/260672027148052/6495604869251620860/Picture1.png</t>
  </si>
  <si>
    <t>Quantum Sensing</t>
  </si>
  <si>
    <t>Quanastra is a deep-tech startup operating at the forefront of quantum and photonics technologies, with a long-term vision to establish itself as a hub for quantum and photonics chip manufacturing. In near term, we are developing Single photon detectors, and associated hardware under national Quantum Mission. Some of our market ready products: UHV Fiber Feedthrough, DC cryoelectronic wiring, High Precision Microampere Current. Some of these we will be showcasing at the IIT Bombay Expo.</t>
  </si>
  <si>
    <t>Toward a Multi-Node Quantum Repeater Network for Entanglement-Based Quantum Communication</t>
  </si>
  <si>
    <t>Debadrita Ghosh</t>
  </si>
  <si>
    <t>debadrita@rrimail.rri.res.in</t>
  </si>
  <si>
    <t>Satish Kumar</t>
  </si>
  <si>
    <t>"Urbasi Sinha
Aditi Sen De
Arijit Sharma
Raghavan Easwaran
Sandeep Goyal"</t>
  </si>
  <si>
    <t>Noise-resilient imaging through coherence filtering</t>
  </si>
  <si>
    <t>Pranay Mohta</t>
  </si>
  <si>
    <t>pmohta@iitk.ac.in</t>
  </si>
  <si>
    <t>Dr. Jagrati</t>
  </si>
  <si>
    <t>Dwivedi</t>
  </si>
  <si>
    <t>(+91) 7566005864</t>
  </si>
  <si>
    <t>projectconsultant2@qmdhub.co.in</t>
  </si>
  <si>
    <t>Saravana</t>
  </si>
  <si>
    <t>(+91) 6369385349</t>
  </si>
  <si>
    <t>Rakesh Pradhan</t>
  </si>
  <si>
    <t>Settlor Lab, IIT Kanpur</t>
  </si>
  <si>
    <t>Suraj</t>
  </si>
  <si>
    <t>Mandal</t>
  </si>
  <si>
    <t>surajm22@iitk.ac.in</t>
  </si>
  <si>
    <t>(+91) 8617844701</t>
  </si>
  <si>
    <t>https://www.jotform.com/uploads/Qmet/260672027148052/6501556695026954019/CWLite.jpeg</t>
  </si>
  <si>
    <t>Side Channel Analysis</t>
  </si>
  <si>
    <t>CRYSTALS-Kyber is a CCA2-secure key encapsulation mechanism defined over the quotient ring ( Z_q[x]/(X^n + 1) ), with parameters ( q = 3329 ) and ( n = 256 ). It has three variants—Kyber-512, Kyber-768, and Kyber-1024—based on different security levels. The scheme consists of three main operations: key generation, encapsulation, and decapsulation.
Although the algorithm itself is secure, its hardware implementation is vulnerable to side-channel attacks due to inherent physical leakage. This work demonstrates a successful attack using Correlation Power Analysis (CPA).
For trace acquisition, ChipWhisperer CW305 was used along with ChipWhisperer Lite, enabling efficient and cost-effective power trace collection. A total of 50,000 random and 50,000 fixed traces were captured to perform TVLA (Test Vector Leakage Assessment). The results showed TVLA values consistently above 4.5, often exceeding 20 and even reaching beyond 40, confirming significant leakage.
The attack targets the decapsulation step, specifically the computation ( v - s^T u ), focusing on the point-wise multiplication ( s^T . u ). A chosen ciphertext attack was conducted on the hardware implementation, which operates with a latency of 256 clock cycles. Approximately 10,000 traces were required to recover one coefficient of the secret key, resulting in about 280,000 traces to extract the full key.</t>
  </si>
  <si>
    <t>Quantum Imaging Techncial Group, IIT Kanpur</t>
  </si>
  <si>
    <t>Aniket</t>
  </si>
  <si>
    <t>Nag</t>
  </si>
  <si>
    <t>aniketnag24@iitk.ac.in</t>
  </si>
  <si>
    <t>(+91) 8972799320</t>
  </si>
  <si>
    <t>Mohta</t>
  </si>
  <si>
    <t>() 7980625513</t>
  </si>
  <si>
    <t>https://www.jotform.com/uploads/Qmet/260672027148052/6501594666024789905/coherence%20detector.jpg
https://www.jotform.com/uploads/Qmet/260672027148052/6501594666024789905/image%20rotator.jpg</t>
  </si>
  <si>
    <t>Quantum imaging and high-dimensional quantum information</t>
  </si>
  <si>
    <t>One Socket (5/15 Amp) for Image Rotator and Two Sockets (5/15 Amp)</t>
  </si>
  <si>
    <t>1. Image Rotator: This can be used for rotating any wavefront with ( Angular Deviation &lt; 1 milli-radian and Mean Polarisation Change &lt; 5%). The commercially available IRs have angular deviation &gt; 100 milli-radian and Mean Polarisation Changes are &gt; 40%). This can be commercialised and will have application in high-dimensional classical and quantum information and quantum imaging.
2. Spatial Coherence Detector: Device for measuring spatial coherence. This is a detector for measuring complex spatial coherence of light, with more than 95% fidelity in the presence of background noise of signal to noise ratio (SNR) as low as 1/10. This is a crucial device for noise-resilient imaging.</t>
  </si>
  <si>
    <t>III-V Semiconductor based LNA and SPAD</t>
  </si>
  <si>
    <t>Rajendra</t>
  </si>
  <si>
    <t>(91) 9582774442</t>
  </si>
  <si>
    <t>Samaresh</t>
  </si>
  <si>
    <t>https://www.jotform.com/uploads/Qmet/260672027148052/6501600758606575847/Picture2.jpg</t>
  </si>
  <si>
    <t>Quantum Materials and Devices</t>
  </si>
  <si>
    <t>3/220</t>
  </si>
  <si>
    <t>Low Noise Amplifier (LNA)
• High-performance LNAs using SiGe technology with a COTS transistor tested at room temperature
• Achieved noise figure &lt; 1.4 dB over 1.5–4.5 GHz
• InP-based dies introduced to reduce noise figure and improve input matching
• Operating frequency range: 1–5 GHz
• Two-stage cascaded and balanced LNAs investigated
• Devices use 200 μm and 150 μm gate-width InP HEMTs
• Cascaded LNA performance (296 K, unconditionally stable):
o Gain: 25.4 dB
o Noise figure: &lt; 0.9 dB
o Input return loss: &gt; 5.6 dB
• Achieved performance parameters:
o Return loss: &gt; 15 dB
o Gain: 24.7 dB
o Noise figure: &lt; 1.18 dB
Single-Photon Avalanche Detector (SPAD)
• Device structure: InGaAs/InP SAGCM SPAD
• Layers: absorption, grading, charge, and multiplication regions
• TCAD simulations used to study:
o Charge layer engineering
o Zn diffusion effects
o Breakdown characteristics
• Electric field confined in multiplication region (~3.5 × 10⁵ V/cm)
• Absorption region maintains low electric field (&lt; 1 × 10⁵ V/cm)
• Device designed for 1550 nm wavelength (telecommunication band)
• Fabrication includes hard mask design for planar and mesa SPADs
• Integrated simulation and fabrication improve:
o Photon Detection Efficiency (PDE)
o Noise performance</t>
  </si>
  <si>
    <t>2D Photon Emitter &amp; Avalanche Detector Arrays</t>
  </si>
  <si>
    <t>Prof. Saurabh</t>
  </si>
  <si>
    <t>slodha@iitb.ac.in</t>
  </si>
  <si>
    <t>Prof. Anshuman</t>
  </si>
  <si>
    <t>anshuman.kumar@iitb.ac.in</t>
  </si>
  <si>
    <t>(+91) 9958713346</t>
  </si>
  <si>
    <t>https://www.jotform.com/uploads/Qmet/260672027148052/6501616470659994834/2D%20Photon%20Emitter%20%26%20Detector%20Arrays.jpg</t>
  </si>
  <si>
    <t>Qunatum Materials &amp; Devices</t>
  </si>
  <si>
    <t>3/220V</t>
  </si>
  <si>
    <t>1. India’s 1st (a) quantum emitter array chip and (b) submicron 2D Avalanche photodetector and.
2. Images and Schematics of (a) hBN based device with integrated nanocavity for optimized and (b) brightness WSe₂ flake based device with Ti/Pt/Au (5 nm/30 nm/100 nm) and Ti/Ni/Au (5 nm/30 nm/100 nm) contacts.
3. Optical images of (a) the device on Si/SiO2 substrate  for potential application of large area arrays of SPE arrays and (b) an array of ALD grown MoS2 transistors transferred on a back gate Si/SiO2 substrate  for potential application of large area arrays of APDs.</t>
  </si>
  <si>
    <t>2D Transfer Setup &amp; Precision Power Supply</t>
  </si>
  <si>
    <t>Prof. Ashish</t>
  </si>
  <si>
    <t>(+91) 9892294386</t>
  </si>
  <si>
    <t>https://www.jotform.com/uploads/Qmet/260672027148052/6501618690652254627/2D%20Transfer%20Setup%20%26%20Precision%20Power%20Supply.jpg</t>
  </si>
  <si>
    <t>(a) Key feature of 2D materials transfer setup:
1. Advanced optical &amp; imaging capabilities: Includes Koehler illumination, integrated photoluminescence imaging/spectroscopy (532 nm excitation), and reflectance spectroscopy (450–750 nm).
2. Flexible sample handling &amp; automation: Supports tilt/rotation, up to 20 mm substrates, heating to 180 °C, remote XYZ control, and custom imaging software.
(b) High performance electronics engineered power supply for quantum technologies:
Precision ~ 1–10 ppm current &amp; voltage sources</t>
  </si>
  <si>
    <t>Silicon Nitride Micro Ring Resonators (MRR) and Optical Nanofiber (ONF) Tip</t>
  </si>
  <si>
    <t>Shailendra Kumar</t>
  </si>
  <si>
    <t>(91) 3222-283504</t>
  </si>
  <si>
    <t>Rajesh</t>
  </si>
  <si>
    <t>(91) 4869</t>
  </si>
  <si>
    <t>https://www.jotform.com/uploads/Qmet/260672027148052/6501626320656386319/TG3.png</t>
  </si>
  <si>
    <t>Si3N4 Micro Ring Resonators
• High-Q, low-loss resonators on Silicon Nitride platforms for narrow linewidth filtering, frequency comb generation, and photon-pair production via nonlinear optics
• Si3N4 waveguides optimized for zero-dispersion operation over 700–1100 nm were designed with thicknesses of 200–500 nm and heights of 100–200 nm
• First-round fabrication of micro-ring resonators with bus–waveguide coupling gaps ≥200 nm successfully completed, enabling wavelength-selective routing and resonant enhancement for quantum photonic circuits
• Coupled ring–bus structures used to control light coupling for filtering, switching, and nonlinear interactions.
Optical nanofiber (ONF) Tip Fabricated Probe
• Optical nanofiber tapered tips allow strong evanescent field interaction for single-photon coupling and near-field sensing.
• Sub-wavelength diameter (D &lt; lamda) .
• Fundamental mode (HE11) as the only guided mode
• Strong Transverse Confinement of evanescent field manipulating atoms and photons
• Quantum Channel in inline fiber network demonstrated.</t>
  </si>
  <si>
    <t>shankraks@iisc.ac.in</t>
  </si>
  <si>
    <t>https://www.jotform.com/uploads/Qmet/260672027148052/6502142416158167143/Picture1.png</t>
  </si>
  <si>
    <t>Photonics quantum processor</t>
  </si>
  <si>
    <t>Display of a model of a photonics quantum processor, Wafer display with photonic circuit, single photon emitter chip and testing jig display.</t>
  </si>
  <si>
    <t>6 qubit photonic system (sharing)</t>
  </si>
  <si>
    <t>Photonics Quantum Processor 9(sharing)</t>
  </si>
  <si>
    <t>A Highly Scalable Quantum Computer using Silicon Qubits (sharing)</t>
  </si>
  <si>
    <t>Cryogenic Electronics for Spin qubits (sharing)</t>
  </si>
  <si>
    <t>Dr. Preeti Banzal</t>
  </si>
  <si>
    <t>PSA</t>
  </si>
  <si>
    <t>Sunil Nair</t>
  </si>
  <si>
    <t>PD IISER Pune</t>
  </si>
  <si>
    <t>technologymanager1@qmdhub.co.in</t>
  </si>
  <si>
    <t>DEEPAK</t>
  </si>
  <si>
    <t>GAUR</t>
  </si>
  <si>
    <t>NEW DELHI</t>
  </si>
  <si>
    <t>Amrutha</t>
  </si>
  <si>
    <t>AK</t>
  </si>
  <si>
    <t>(+91) 7204574231</t>
  </si>
  <si>
    <t>amruthaak@iisc.ac.in</t>
  </si>
  <si>
    <t>Facility technologist</t>
  </si>
  <si>
    <t>INDIAN INSTITUTE OF TECHNOLOGY KANPUR</t>
  </si>
  <si>
    <t>KANPUR</t>
  </si>
  <si>
    <t>Anirudh</t>
  </si>
  <si>
    <t>Jaiswal</t>
  </si>
  <si>
    <t>(+91) 7439215216</t>
  </si>
  <si>
    <t>anirudh_202200138@smit.smu.edu.in</t>
  </si>
  <si>
    <t>Project Intern</t>
  </si>
  <si>
    <t>Indian Institute of Technology Bhilai (IITBH)</t>
  </si>
  <si>
    <t>Chattisgarh, Durg</t>
  </si>
  <si>
    <t>Abhilash Kumar</t>
  </si>
  <si>
    <t>(+91) 9362672150</t>
  </si>
  <si>
    <t>abhilashkd@iitbhilai.ac.in</t>
  </si>
  <si>
    <t>Bhilai, Chhattisgarh</t>
  </si>
  <si>
    <t>Anshuman</t>
  </si>
  <si>
    <t>(099587) 13346</t>
  </si>
  <si>
    <t>Sai Tarun</t>
  </si>
  <si>
    <t>Baratam</t>
  </si>
  <si>
    <t>(+91) 9560241708</t>
  </si>
  <si>
    <t>saitarun.baratam25@kgpian.iitkgp.ac.in</t>
  </si>
  <si>
    <t>MS student at Computer science and engineering department</t>
  </si>
  <si>
    <t>Kharagpur, Paschim Medinipur</t>
  </si>
  <si>
    <t>Amrita</t>
  </si>
  <si>
    <t>(091) 9930557620</t>
  </si>
  <si>
    <t>b.amrita10@gmail.com</t>
  </si>
  <si>
    <t>Swaroop</t>
  </si>
  <si>
    <t>Ganguly</t>
  </si>
  <si>
    <t>(+91) 9867759249</t>
  </si>
  <si>
    <t>swaroop.ganguly@iitb.ac.in</t>
  </si>
  <si>
    <t>Dibyajyoti</t>
  </si>
  <si>
    <t>(+91) 9289013008</t>
  </si>
  <si>
    <t>dibyajyoti@iitd.ac.in</t>
  </si>
  <si>
    <t>Maniraj</t>
  </si>
  <si>
    <t>Mahalingam</t>
  </si>
  <si>
    <t>(+91) 9039493225</t>
  </si>
  <si>
    <t>Rajaraman</t>
  </si>
  <si>
    <t>Gopalan</t>
  </si>
  <si>
    <t>(+91) 9833607183</t>
  </si>
  <si>
    <t>Karun</t>
  </si>
  <si>
    <t>Rawat</t>
  </si>
  <si>
    <t>(+91) 8585992445</t>
  </si>
  <si>
    <t>Prof. Ajay Kumar Sood</t>
  </si>
  <si>
    <t>AI-2975</t>
  </si>
  <si>
    <t xml:space="preserve">Terminal </t>
  </si>
  <si>
    <t>Rajat Moona</t>
  </si>
  <si>
    <t>Manna</t>
  </si>
  <si>
    <t>(+91) 9775577930</t>
  </si>
  <si>
    <t>Siddhartha</t>
  </si>
  <si>
    <t>Chowdhury</t>
  </si>
  <si>
    <t>(+91) 9038043198</t>
  </si>
  <si>
    <t>Qmet Tech</t>
  </si>
  <si>
    <t>Debapriya Das</t>
  </si>
  <si>
    <t>Dhiman Saha</t>
  </si>
  <si>
    <t>Prasobh</t>
  </si>
  <si>
    <t>Padmanabhan</t>
  </si>
  <si>
    <t>prasobh.padmanabhan@qmettech.com</t>
  </si>
  <si>
    <t>(+91) 8073277036</t>
  </si>
  <si>
    <t>Shishir</t>
  </si>
  <si>
    <t>Dasika</t>
  </si>
  <si>
    <t>shishir.dasika@qmettech.com</t>
  </si>
  <si>
    <t>() 73820336590</t>
  </si>
  <si>
    <t>https://www.jotform.com/uploads/Qmet/260672027148052/6502451804853886749/QDM_Image.jpg</t>
  </si>
  <si>
    <t>NV Centre Sensing</t>
  </si>
  <si>
    <t>5 kW</t>
  </si>
  <si>
    <t>The Quantum Diamond Microscopes (QDM) works in room temperature and generates magnetic field maps, which can be used for the detection of Hardware trojans. The QDM maps the magnetic field of a chip while it processes the data. By comparing this map to a trusted chip, defense analysts can spot tiny, unauthorized circuits that shouldn't be there. Similarly, these magnetic field maps can be used for the defect detection of chips. They can also help in non-destructively reverse engineering the chips, by revealing the internal architecture.
Qmet’s quantum diamond microscope delivers high-performance magnetic imaging by combining a magnetic field sensitivity of 0.7 µT/√Hz with a spatial resolution of 1 µm. This configuration allows for the detection of subtle magnetic field variations while maintaining the ability to resolve localized features at the micron scale. The system features a 100 µm field of view, enabling simultaneous wide-field characterization of magnetic textures or current distributions across a significant sample area.
Side illumination, Normal illumination and Cryogenic setup of QDM are available in the lab.
Technical specifications:
Sensitivity: 0.7 µT/√Hz, Resolution: 1 um, FOV: 100 µm</t>
  </si>
  <si>
    <t>Vinayak</t>
  </si>
  <si>
    <t>Rane</t>
  </si>
  <si>
    <t>vinaya.rane@qmettech.com</t>
  </si>
  <si>
    <t>(+91) 9867236112</t>
  </si>
  <si>
    <t>Abhijeet</t>
  </si>
  <si>
    <t>Ghodgaonkar</t>
  </si>
  <si>
    <t>abhijeet.ghodgaonkar@qmettech.com</t>
  </si>
  <si>
    <t>(+91) 9962648741</t>
  </si>
  <si>
    <t>https://www.jotform.com/uploads/Qmet/260672027148052/6502478419741009952/MagPI_Photo_2898.JPG</t>
  </si>
  <si>
    <t>4 sockets with 230 V Ac</t>
  </si>
  <si>
    <t>Quantum magnetometers offer a potential alternative for aerial navigation in environments where GPS is unreliable. By utilizing the Earth’s magnetic field, these sensors provide a passive navigation source that is difficult to defeat. While the technology is still maturing, it holds specific value for defense and space sectors requiring positioning redundancy in contested or remote areas. Additionally, the high sensitivity of these devices may improve the detection of localized magnetic anomalies, such as those generated by submerged vessels or metallic structures. Ultimately, integrating quantum magnetometry into existing sensor suites could provide a potential solution to vulnerabilities of satellite-dependent systems.
Qmet’s magnetometer offers high-precision magnetic field characterization with a sensitivity of 0.7 nT/√Hz and full vector measurement capabilities. Operating within a bandwidth of DC to 0.1 kHz, the system is optimized for stable static measurements and low-frequency signal detection. It features an expansive dynamic range spanning from pT to mT levels, allowing it to transition seamlessly between measuring subtle fluctuations and strong magnetic environments. Consuming 50 W of power, the device is designed to maintain robust performance for industrial or laboratory-grade applications. We have already working on improving the form factor to make it compatible with a variety of mobile applications.
Technical specifications:
Sensitivity: 0.7 nT/√Hz Bandwidth: DC – 0.1 kHz, Dynamic Range: pT to mT, Power: 50 W, Vector capability: Yes</t>
  </si>
  <si>
    <t>IIT Bhilai: Fault Injection Attack on Kyber-768</t>
  </si>
  <si>
    <t>https://www.jotform.com/uploads/Qmet/260672027148052/6502483482521778987/cw-lite-32.jpg.jpeg</t>
  </si>
  <si>
    <t>Clock glitching</t>
  </si>
  <si>
    <t>2 sockets, 220V</t>
  </si>
  <si>
    <t>The team will demonstrate a practical fault-injection attack (published in ASIACRYPT 2021 by Xagawa et al.) on Key Encapsulation Mechanism (CRYSTALS-Kyber) using ChipWhisperer Lite Part - I. The demo is followed by the recovery of long-term secret.
First, the board specifications are configured, the firmware is compiled, and the clock glitching parameters are set before running the main glitching script. The process then involves sweeping through the maximum ranges of the parameters, namely width (w) and offset (o). By analyzing combinations of (w, o, ext_o), instances of crashes and resets can be identified, which confirm that the glitch is affecting the execution pipeline of the algorithm. The parameter ext_o plays a crucial role, as it determines when the capture board inserts the glitch after receiving the trigger, allowing precise control of the glitch timing at the nanosecond level within a clock cycle.
As a result, the expected outcomes include downgrading the security of Kyber-768 from CCA-secure to CPA-secure through fault injection, and obtaining a 32-byte shared secret K for any crafted ciphertext.</t>
  </si>
  <si>
    <t>QuiLA - TG!</t>
  </si>
  <si>
    <t>Ashutosh</t>
  </si>
  <si>
    <t>ashutosh@ee.iitm.ac.in</t>
  </si>
  <si>
    <t>(+91) 9122866323</t>
  </si>
  <si>
    <t>Saravana Vilashini</t>
  </si>
  <si>
    <t>ee19d021@smail.iitm.ac.in</t>
  </si>
  <si>
    <t>(+91) 8754325797</t>
  </si>
  <si>
    <t>https://www.jotform.com/uploads/Qmet/260672027148052/6502691282497432140/QuiLA.jpg</t>
  </si>
  <si>
    <t>QuiLA</t>
  </si>
  <si>
    <t>Working under TG-1 with Prof. Anil Prabhakar</t>
  </si>
  <si>
    <t>QuEPRAN-TG4</t>
  </si>
  <si>
    <t>Dr. Debadrita</t>
  </si>
  <si>
    <t>(+91) 7022009257</t>
  </si>
  <si>
    <t>Anagha</t>
  </si>
  <si>
    <t>Gayatri</t>
  </si>
  <si>
    <t>anaghagayathri@smail.iitm.ac.in</t>
  </si>
  <si>
    <t>(+91) 9048435490</t>
  </si>
  <si>
    <t>https://www.jotform.com/uploads/Qmet/260672027148052/6502711742492972140/QuEPRAN.png</t>
  </si>
  <si>
    <t>Quantum Memory Nodes, BSM (Bell state measurement</t>
  </si>
  <si>
    <t>INDIA'S QUANTUM NETWORK TESTBED</t>
  </si>
  <si>
    <t>Anil Prabhakar</t>
  </si>
  <si>
    <t>Anagha Gayathri</t>
  </si>
  <si>
    <t>Saravana Vilashini M</t>
  </si>
  <si>
    <t xml:space="preserve">VIP Escort Volunteers </t>
  </si>
  <si>
    <t xml:space="preserve">To be decided </t>
  </si>
  <si>
    <t>- Magnetic microscope based on NV- centers in diamond (sharing)</t>
  </si>
  <si>
    <t>Payment By</t>
  </si>
  <si>
    <t>Prof. Rajat Moona</t>
  </si>
  <si>
    <t xml:space="preserve">AI-494 </t>
  </si>
  <si>
    <t>V-PAR Microsystems Pvt. Ltd.</t>
  </si>
  <si>
    <t>Purna</t>
  </si>
  <si>
    <t>(91) 8617013318</t>
  </si>
  <si>
    <t>https://www.jotform.com/uploads/Qmet/260672027148052/6504131075184348606/Vapor%20cell-Tech.jpeg</t>
  </si>
  <si>
    <t>Chip-Scale Atomic Metrology</t>
  </si>
  <si>
    <t>2 sockets and One monitor</t>
  </si>
  <si>
    <t>Our startup is a deep-tech venture focused on the indigenization of high-performance MEMS alkali vapor cells, the essential "physics package" for miniaturized quantum technologies. By moving away from traditional, manual glass-blowing techniques toward automated, wafer-level semiconductor batch fabrication, we produce hermetically sealed Rubidium and Cesium cells at a scale and precision previously unavailable in the domestic market. Our core product enables the transition of quantum sensors from bulky laboratory setups to chip-scale components, specifically targeting the Strategic Sector for ISRO and DRDO's GPS-denied navigation and satellite timing requirements. Beyond defense, we provide the hardware foundation for 5G/6G network synchronization and advanced medical brain imaging via Optically Pumped Magnetometers (OPMs). Based within the IISc-CeNSE ecosystem, we bridge the critical gap between complex quantum physics and industrial mass production. Our mission is to secure a sovereign, ITAR-free supply chain for the global quantum metrology market, offering high-reliability, low-power sensing solutions that are ready for seamless integration into the next generation of aerospace, telecommunications, and healthcare infrastructure.</t>
  </si>
  <si>
    <t>Quantum Diamond Magnetometer (sharing)</t>
  </si>
  <si>
    <t>Dr. Sourav dutta</t>
  </si>
  <si>
    <t>Dr. V Natarajan (member PI)</t>
  </si>
  <si>
    <t>Prof Pratap raychaudhari</t>
  </si>
  <si>
    <t>Dr. Tanmoy basu</t>
  </si>
  <si>
    <t>Ritik Jain</t>
  </si>
  <si>
    <t>Sourabh Jain</t>
  </si>
  <si>
    <t>Dr. Ashish Arora</t>
  </si>
  <si>
    <t>Vinod Kumar</t>
  </si>
  <si>
    <t>Aparna Shinde</t>
  </si>
  <si>
    <t>Soorya S</t>
  </si>
  <si>
    <t>Chayan Purkait</t>
  </si>
  <si>
    <t>Dhairya Bhandari</t>
  </si>
  <si>
    <t>Sunny Bajaj</t>
  </si>
  <si>
    <t>Dr. Vishwapal</t>
  </si>
  <si>
    <t>Raja Mondal</t>
  </si>
  <si>
    <t>Neethu K</t>
  </si>
  <si>
    <t>Hrdya Joshi</t>
  </si>
  <si>
    <t>Rahul Mohanty</t>
  </si>
  <si>
    <t>Satyabrata Baidya</t>
  </si>
  <si>
    <t>Vikas R</t>
  </si>
  <si>
    <t>Prof. Henry Sukumar</t>
  </si>
  <si>
    <t>Foram P Shingala</t>
  </si>
  <si>
    <t>SELVAGANGAI C</t>
  </si>
  <si>
    <t>John Jesudasan</t>
  </si>
  <si>
    <t>Pooja Gunjal</t>
  </si>
  <si>
    <t>Anupam Patra</t>
  </si>
  <si>
    <t>TCG Crest</t>
  </si>
  <si>
    <t>Dr. Pawan Kumar</t>
  </si>
  <si>
    <t>Pawan Shukla</t>
  </si>
  <si>
    <t>Aishwarya L</t>
  </si>
  <si>
    <t>Mithilesh Kumar PARIT</t>
  </si>
  <si>
    <t>Rohit</t>
  </si>
  <si>
    <t>Chaurasiya</t>
  </si>
  <si>
    <t>(+91) 9049582034</t>
  </si>
  <si>
    <t>Sudipta</t>
  </si>
  <si>
    <t>(+91) 8604933508</t>
  </si>
  <si>
    <t xml:space="preserve">Qmet Tech </t>
  </si>
  <si>
    <t xml:space="preserve">Prof Girish Kulkarni </t>
  </si>
  <si>
    <t xml:space="preserve">Pralekh Dubey </t>
  </si>
  <si>
    <t>Phani Kumar</t>
  </si>
  <si>
    <t>Diamond quantum sensors for nano-magnetometry</t>
  </si>
  <si>
    <t>Pulak (also part of poster)</t>
  </si>
  <si>
    <t>Deepesh (also part of poster)</t>
  </si>
  <si>
    <t>Rajat (also part of poster)</t>
  </si>
  <si>
    <t>Pranay (also in poster)</t>
  </si>
  <si>
    <t>PI</t>
  </si>
  <si>
    <t>Remaining Hubs Staff</t>
  </si>
  <si>
    <t>(including IISER Pune PD)</t>
  </si>
  <si>
    <t>sanjana</t>
  </si>
  <si>
    <t>srishti</t>
  </si>
  <si>
    <t>elton</t>
  </si>
  <si>
    <t xml:space="preserve">ruchi </t>
  </si>
  <si>
    <t xml:space="preserve">aakash </t>
  </si>
  <si>
    <t>rutuja</t>
  </si>
  <si>
    <t xml:space="preserve">snehal </t>
  </si>
  <si>
    <t>Announcements</t>
  </si>
  <si>
    <t>swapneel</t>
  </si>
  <si>
    <t>wajid</t>
  </si>
  <si>
    <t>deepawali</t>
  </si>
  <si>
    <t>rachana</t>
  </si>
  <si>
    <t>joyita</t>
  </si>
  <si>
    <t>santosh</t>
  </si>
  <si>
    <t>shishir</t>
  </si>
  <si>
    <t xml:space="preserve">prashobh </t>
  </si>
  <si>
    <t>vinayak</t>
  </si>
  <si>
    <t>abhijeet</t>
  </si>
  <si>
    <t>aditi</t>
  </si>
  <si>
    <t>pavithra</t>
  </si>
  <si>
    <t>jeenal</t>
  </si>
  <si>
    <t>heena</t>
  </si>
  <si>
    <t>nitin</t>
  </si>
  <si>
    <t>aditya</t>
  </si>
  <si>
    <t>Hardik</t>
  </si>
  <si>
    <t>jay</t>
  </si>
  <si>
    <t>balachandra setu</t>
  </si>
  <si>
    <t xml:space="preserve">kallipada </t>
  </si>
  <si>
    <t>Total</t>
  </si>
  <si>
    <t>Expo</t>
  </si>
  <si>
    <t>Poster</t>
  </si>
  <si>
    <t>DST / MGB/ MTRC</t>
  </si>
  <si>
    <t>Student/JRF/SRF</t>
  </si>
  <si>
    <t>(+65) 90811216</t>
  </si>
  <si>
    <t>ravi@atomionics.com</t>
  </si>
  <si>
    <t>CTO</t>
  </si>
  <si>
    <t>Atomionics India pvt ltd</t>
  </si>
  <si>
    <t>Dhiman</t>
  </si>
  <si>
    <t>(+91) 9733504768</t>
  </si>
  <si>
    <t>Bhilai</t>
  </si>
  <si>
    <t>Prashant</t>
  </si>
  <si>
    <t>Chugh</t>
  </si>
  <si>
    <t>(+91) 9818150862</t>
  </si>
  <si>
    <t>Scientist 'F' &amp; Group Leader</t>
  </si>
  <si>
    <t>C-DOT</t>
  </si>
  <si>
    <t xml:space="preserve">19:55 pm </t>
  </si>
  <si>
    <t>AI - 1736</t>
  </si>
  <si>
    <t>AI - 2940</t>
  </si>
  <si>
    <t>20:00 pm</t>
  </si>
  <si>
    <t>Tag</t>
  </si>
  <si>
    <t>Contact No.</t>
  </si>
  <si>
    <t>Car Type</t>
  </si>
  <si>
    <t>Guest House Name</t>
  </si>
  <si>
    <t>Guest House Status</t>
  </si>
  <si>
    <t>Car Status</t>
  </si>
  <si>
    <t>Date of Departure</t>
  </si>
  <si>
    <t>Flight Number</t>
  </si>
  <si>
    <t>Time of Departure (From IITB)</t>
  </si>
  <si>
    <t>Drop Off to:</t>
  </si>
  <si>
    <t xml:space="preserve">Date of Arrival </t>
  </si>
  <si>
    <t xml:space="preserve">Time of Arrival </t>
  </si>
  <si>
    <t xml:space="preserve">Flight Take of Time </t>
  </si>
  <si>
    <t xml:space="preserve">Pending </t>
  </si>
  <si>
    <t>Allocated</t>
  </si>
  <si>
    <t>Shared</t>
  </si>
  <si>
    <t>Yet to Share</t>
  </si>
  <si>
    <t>Not Needed</t>
  </si>
  <si>
    <t>Shantharam</t>
  </si>
  <si>
    <t>Kalipatnapu</t>
  </si>
  <si>
    <t>shantharamk@iisc.ac.in</t>
  </si>
  <si>
    <t>(+91) 8972246283</t>
  </si>
  <si>
    <t>Venkata Pavan Kalyan</t>
  </si>
  <si>
    <t>Missula</t>
  </si>
  <si>
    <t>pavkalyan100@gmail.com</t>
  </si>
  <si>
    <t>(+91) 7294874910</t>
  </si>
  <si>
    <t>Vaibhav Anand Srivastava</t>
  </si>
  <si>
    <t>vaibhavas@iisc.ac.in</t>
  </si>
  <si>
    <t>Chairman MGB</t>
  </si>
  <si>
    <t>Pick up Volunteer</t>
  </si>
  <si>
    <t>Prof Abhay Karandhikar</t>
  </si>
  <si>
    <t xml:space="preserve">DST Secretary </t>
  </si>
  <si>
    <t>No of Nights</t>
  </si>
  <si>
    <t>Mission Director NQM</t>
  </si>
  <si>
    <t>Name of the Principal Investigator</t>
  </si>
  <si>
    <t>Institute Name</t>
  </si>
  <si>
    <t>Mobile No</t>
  </si>
  <si>
    <t>Email Id</t>
  </si>
  <si>
    <t xml:space="preserve"> IISER Pune</t>
  </si>
  <si>
    <t>Prof. Partha Pratim Roy</t>
  </si>
  <si>
    <t xml:space="preserve"> IIT Dhanbad</t>
  </si>
  <si>
    <t>Dr. Abhirup Datta</t>
  </si>
  <si>
    <t xml:space="preserve"> IIT Indore</t>
  </si>
  <si>
    <t>Prof. Phani Sudheer Motamarri</t>
  </si>
  <si>
    <t xml:space="preserve"> IISc. Bengaluru</t>
  </si>
  <si>
    <t>Dr. Asvija B</t>
  </si>
  <si>
    <t xml:space="preserve"> Centre for development of Advanced Computing (CDAC)  Bengaluru</t>
  </si>
  <si>
    <t>Dr. Naqueeb Ahmad Warsi</t>
  </si>
  <si>
    <t xml:space="preserve"> Indian Statistical Institute (ISI) Kolkata</t>
  </si>
  <si>
    <t xml:space="preserve"> IIT Madras</t>
  </si>
  <si>
    <t>Dr. Ankush Sharma</t>
  </si>
  <si>
    <t xml:space="preserve"> IIT Kanpur</t>
  </si>
  <si>
    <t>Dr. Atanu Rajak</t>
  </si>
  <si>
    <t xml:space="preserve"> IIT Hyderabad</t>
  </si>
  <si>
    <t>Dr. Jaskaran Singh Nirankari</t>
  </si>
  <si>
    <t xml:space="preserve"> IIT Mandi</t>
  </si>
  <si>
    <t>Prof. P Arumugam</t>
  </si>
  <si>
    <t xml:space="preserve"> IIT Roorkee</t>
  </si>
  <si>
    <t>Prof. Nilmani Mathur</t>
  </si>
  <si>
    <t xml:space="preserve"> TIFR Mumbai</t>
  </si>
  <si>
    <t>Prof. Syed Raghib Hassan</t>
  </si>
  <si>
    <t xml:space="preserve"> The Institute of Mathematical Sciences (IMS) Chennai</t>
  </si>
  <si>
    <t>Prof. Ashutosh Bhatia</t>
  </si>
  <si>
    <t xml:space="preserve"> Birla Institute of Technology and Science (Bits)  Pilani,  Pilani Campus</t>
  </si>
  <si>
    <t>Dr. Prabhu Rajagopal</t>
  </si>
  <si>
    <t>prajagopal@iitm.ac.in</t>
  </si>
  <si>
    <t>Prof. Rahul Maitra</t>
  </si>
  <si>
    <t xml:space="preserve"> IIT Bombay</t>
  </si>
  <si>
    <t>Prof. Srinivasa Prasanna V</t>
  </si>
  <si>
    <t xml:space="preserve"> The Chatterjee Group Centres For Research and Education in Science and Technology (TCG CREST), West Bengal</t>
  </si>
  <si>
    <t>TAG</t>
  </si>
  <si>
    <t>Quantum Algorithms PIs</t>
  </si>
  <si>
    <t>santh@iiserpune.ac.in</t>
  </si>
  <si>
    <t>parthapratim@iitism.ac.in</t>
  </si>
  <si>
    <t>abhirup.datta@iiti.ac.in</t>
  </si>
  <si>
    <t>phanim@iisc.ac.in</t>
  </si>
  <si>
    <t>naqueebwarsi@isical.ac.in</t>
  </si>
  <si>
    <t>ansharma@iitk.ac.in</t>
  </si>
  <si>
    <t>atanu@phy.iith.ac.in</t>
  </si>
  <si>
    <t>arumugam@ph.iitr.ac.in</t>
  </si>
  <si>
    <t>jaskaran@iitmandi.ac.in</t>
  </si>
  <si>
    <t>nilmani@theory.tifr.res.in</t>
  </si>
  <si>
    <t>shassan@imsc.res.in</t>
  </si>
  <si>
    <t>ashutosh.bhatia@pilani.bits-pilani.ac.in</t>
  </si>
  <si>
    <t>rmaitra@chem.iitb.ac.in</t>
  </si>
  <si>
    <t>srinivasaprasannaa@gmail.com</t>
  </si>
  <si>
    <t xml:space="preserve">VC Name </t>
  </si>
  <si>
    <t xml:space="preserve">Teaching Lab PIs </t>
  </si>
  <si>
    <t>Prof. Venkata Madhuri kalapala</t>
  </si>
  <si>
    <t>Dr. Srinivasa L Chakravarthy</t>
  </si>
  <si>
    <t>Dr. Prasad C L V R S V</t>
  </si>
  <si>
    <t>Dr. Sumalatha Lingamgunta</t>
  </si>
  <si>
    <t>Prof. Ravindra Kumar Sinha</t>
  </si>
  <si>
    <t>Prof. Anagh Bhaumik</t>
  </si>
  <si>
    <t>Prof. Chandra Shekhar Yadav</t>
  </si>
  <si>
    <t>Dr. Aswath Babu</t>
  </si>
  <si>
    <t>Prof. Aman Mahajan</t>
  </si>
  <si>
    <t>Dr. B V Sudhakar Reddy</t>
  </si>
  <si>
    <t>Dr. Venkata Krishnaiah Kummara</t>
  </si>
  <si>
    <t>Dr. Sadu Chiranjeevi</t>
  </si>
  <si>
    <t>Dr. Dheeraj Kumar Sinha</t>
  </si>
  <si>
    <t>Prof. Sanjeev Kumar</t>
  </si>
  <si>
    <t>Dr. Sayak Bhattacharya</t>
  </si>
  <si>
    <t>Prof. Thomas Andrews Joseph</t>
  </si>
  <si>
    <t>Dr. Ganesh C Patil</t>
  </si>
  <si>
    <t>Prof. Jyoti Prakash Kar</t>
  </si>
  <si>
    <t>Dr. V Narayanan</t>
  </si>
  <si>
    <t>Dr. Sasikumar</t>
  </si>
  <si>
    <t>Dr. Pushpalatha</t>
  </si>
  <si>
    <t>Dr. Atul Kumar</t>
  </si>
  <si>
    <t>Dr. Soma Bandyopadhyay</t>
  </si>
  <si>
    <t>Prof. K. V. Krishna Kishore, Vice Chancellor</t>
  </si>
  <si>
    <t>Prof. Kolla Siva Rama Krishna, Vice Chancellor</t>
  </si>
  <si>
    <t>Dr. Girish J, Vice Chancellor</t>
  </si>
  <si>
    <t>Prof. C. S. R. K. Prasad, Vice Chancellor</t>
  </si>
  <si>
    <t>Prof. Prateek Sharma, Vice Chancellor</t>
  </si>
  <si>
    <t>Prof Rajat Moona, Director</t>
  </si>
  <si>
    <t>Prof. Laxmidhar Behera, Director</t>
  </si>
  <si>
    <t>Prof. S. R. Mahadeva Prasanna, Director</t>
  </si>
  <si>
    <t>Prof. (Dr.) Karamjeet Singh, Vice Chancellor</t>
  </si>
  <si>
    <t>Prof. M. Vijaya Kumar, Vice Chancellor</t>
  </si>
  <si>
    <t>Dr. M. Santhiramudu Garu (Chairman), Director</t>
  </si>
  <si>
    <t>Prof. SSSV Gopala Raju, Director</t>
  </si>
  <si>
    <t>Prof. Madhusudan Singh, Director</t>
  </si>
  <si>
    <t>Prof. Rajesh Kumar Bhatia, Director</t>
  </si>
  <si>
    <t>Prof. Gajendra Pal Singh Raghava, Director</t>
  </si>
  <si>
    <t>Prof. Neetesh Purohit, Director</t>
  </si>
  <si>
    <t>Dr. P. L. Patel, Director, Director</t>
  </si>
  <si>
    <t>Prof. K. Umamaheshwar Rao, Director</t>
  </si>
  <si>
    <t>Professor Avinash Kumar Agarwal, Director</t>
  </si>
  <si>
    <t>Dr. Sundar R, Director</t>
  </si>
  <si>
    <t>Prof. C. Muthamizhchelvan, Vice Chancellor</t>
  </si>
  <si>
    <t>Prof. Amit Patra, Director</t>
  </si>
  <si>
    <t>Mr. Kishan Kumar Kejriwal,  Chairman</t>
  </si>
  <si>
    <t>Vignan's Foundation for Science Technology and Research (Deemed to Be University), Guntur, Vadlamudi, Andhra Pradesh</t>
  </si>
  <si>
    <t>Gandhi Institute of Technology and Management, Gandhinagar, Visakhapatnam, Andhra Pradesh</t>
  </si>
  <si>
    <t>GMR Institute of Technology, Rajam, Srikakulam, Andhra Pradesh</t>
  </si>
  <si>
    <t>University College of Engineering Kakinada, East Godavari, Kakinada, Andhra Pradesh</t>
  </si>
  <si>
    <t>Delhi Technological University, North West Delhi, Shahabad Daulatpur, Delhi</t>
  </si>
  <si>
    <t>IIT Gandhinagar, Gandhinagar, Gujrat</t>
  </si>
  <si>
    <t>IIT Mandi, Mandi, Himachal Pradesh</t>
  </si>
  <si>
    <t>Indian Institute of Information Technology, Dharwad, Hubli, Karnataka</t>
  </si>
  <si>
    <t>Guru Nanak Dev University, Amritsar, Punjab</t>
  </si>
  <si>
    <t>Rajiv Gandhi University of Knowledge Technologies, Kadapa,Vempalli, Andhra Pradesh</t>
  </si>
  <si>
    <t>Rajeev Gandhi Memorial College of Engineering and Technology, Kurnool, Nandyal, Andhra Pradesh</t>
  </si>
  <si>
    <t>Rajiv Gandhi University of Knowledge Technologies, Krishna, Nuzvid, Andhra Pradesh</t>
  </si>
  <si>
    <t>Indian Institute of Information Technology, Bhagalpur, Bihar</t>
  </si>
  <si>
    <t>Punjab Engineering College (Deemed to Be University), Sector-12, Chandigarh</t>
  </si>
  <si>
    <t>Indraprastha Institute of Information Technology, South Delhi, New Delhi, Delhi</t>
  </si>
  <si>
    <t>Shri G.S. Institute of Tech. and Science, Indore, Madhya Pradesh</t>
  </si>
  <si>
    <t>Visvesvaraya National Institute of Technology, Nagpur, Maharashtra</t>
  </si>
  <si>
    <t>National Institute of Technology, Sundargarh, Rourkela, Orissa</t>
  </si>
  <si>
    <t>IIT Jodhpur, Jodhpur, Rajasthan</t>
  </si>
  <si>
    <t>Rajalakshmi Institute of Technology, Tiruvallur, Tamil Nadu</t>
  </si>
  <si>
    <t>SRM Institute of Science and Technology, (Formerly Known as SRM University), Kanchipuram, Kattankulathur, Tamil Nadu</t>
  </si>
  <si>
    <t>Indian Institute of Technology (BHU), Varanasi, Uttar Pradesh</t>
  </si>
  <si>
    <t>MCKV Institute of Engineering, Howrah, West Bengal</t>
  </si>
  <si>
    <t>drkvm_sh@vignan.ac.in</t>
  </si>
  <si>
    <t>slade@gitam.edu</t>
  </si>
  <si>
    <t>prasad.clvrsv@gmrgroup.in</t>
  </si>
  <si>
    <t>lsumalatha@jntucek.ac.in</t>
  </si>
  <si>
    <t>dr_rk_sinha@yahoo.com</t>
  </si>
  <si>
    <t>anagh.bhaumik@iitgn.ac.in</t>
  </si>
  <si>
    <t>chaircqst@iitmandi.ac.in</t>
  </si>
  <si>
    <t>aswath@iiitdwd.ac.in</t>
  </si>
  <si>
    <t>aman.phy@gndu.ac.in</t>
  </si>
  <si>
    <t>sudhakar@rguktrkv.ac.in</t>
  </si>
  <si>
    <t>kvkphd84@gmail.com</t>
  </si>
  <si>
    <t>schiranjeevi@rguktn.ac.in</t>
  </si>
  <si>
    <t>dksinha.ece@iiitbh.ac.in</t>
  </si>
  <si>
    <t>sanjeev@pec.edu.in</t>
  </si>
  <si>
    <t>sayak@iiitd.ac.in</t>
  </si>
  <si>
    <t>jtandrews@sgsits.ac.in</t>
  </si>
  <si>
    <t>ganeshcpatil@cvn.vnit.ac.in</t>
  </si>
  <si>
    <t>karjp@nitrkl.ac.in</t>
  </si>
  <si>
    <t>vnara@iitj.ac.in</t>
  </si>
  <si>
    <t>sasikumar.s@ritchennai.edu.in</t>
  </si>
  <si>
    <t>pushpalm@srmist.edu.in</t>
  </si>
  <si>
    <t>atul.ece@iitbhu.ac.in</t>
  </si>
  <si>
    <t>soma.bandyopadhyay@mckvie.edu.in</t>
  </si>
  <si>
    <t>IITM CDOT</t>
  </si>
  <si>
    <t>Invitation status</t>
  </si>
  <si>
    <t>Participation</t>
  </si>
  <si>
    <t>Dr. Bhaskar Ramamurthi</t>
  </si>
  <si>
    <t>Dr. Bhaskar Ramamurthi"&lt;bhaskar@ee.iitm.ac.in&gt;</t>
  </si>
  <si>
    <t>sent</t>
  </si>
  <si>
    <t>Sibasish</t>
  </si>
  <si>
    <r>
      <t>sibasish@imsc.res.in</t>
    </r>
    <r>
      <rPr>
        <sz val="10"/>
        <color rgb="FF000000"/>
        <rFont val="Calibri"/>
        <family val="2"/>
      </rPr>
      <t>"&lt;</t>
    </r>
    <r>
      <rPr>
        <sz val="10"/>
        <color rgb="FF000000"/>
        <rFont val="Inherit"/>
      </rPr>
      <t>sibasish@imsc.res.in</t>
    </r>
    <r>
      <rPr>
        <sz val="10"/>
        <color rgb="FF000000"/>
        <rFont val="Calibri"/>
        <family val="2"/>
      </rPr>
      <t>&gt;</t>
    </r>
  </si>
  <si>
    <t>Sivakumar Srinivasan</t>
  </si>
  <si>
    <t>Sivakumar Srinivasan"&lt;sivakumar.srinivasan@krea.edu.in&gt;</t>
  </si>
  <si>
    <t>Vijay Rao"&lt;Vijay.Rao@ltimindtree.com&gt;</t>
  </si>
  <si>
    <t>Deepa Nagaraj</t>
  </si>
  <si>
    <t>Deepa Nagraj"&lt;deepa.nagaraj@mphasis.com&gt;</t>
  </si>
  <si>
    <t>ITNT CEO</t>
  </si>
  <si>
    <t>iTNT Hub (CEO)"&lt;ceo@tnthub.org&gt;</t>
  </si>
  <si>
    <t>Dr.Preeti Banzal"&lt;preeti.banzal@nic.in&gt;</t>
  </si>
  <si>
    <t>Rahul Yadav</t>
  </si>
  <si>
    <t>rahulyadav"&lt;rahulyadav@ord.gov.in&gt;</t>
  </si>
  <si>
    <t>repeat</t>
  </si>
  <si>
    <t>JBV Reddy"&lt;jbvreddy@nic.in&gt;</t>
  </si>
  <si>
    <t>DDG SRI</t>
  </si>
  <si>
    <t>ddgsri-dot"&lt;ddg.sri-dot@nic.in&gt;</t>
  </si>
  <si>
    <t>Atul Kumar Gupta</t>
  </si>
  <si>
    <t>Atul Kumar Gupta"&lt;akg@cdot.in&gt;</t>
  </si>
  <si>
    <t>Confirmation upon receiving the agenda</t>
  </si>
  <si>
    <t>Dr. Swati Rawal Dang</t>
  </si>
  <si>
    <t>swatirawal dang"&lt;swatirawal.dang@gov.in&gt;</t>
  </si>
  <si>
    <t>Urbasi Sinha</t>
  </si>
  <si>
    <t>Urbasi Sinha"&lt;usinha@rri.res.in&gt;</t>
  </si>
  <si>
    <t>sent (repeat)</t>
  </si>
  <si>
    <t>Bhaskar Kanseri"&lt;bkanseri@physics.iitd.ac.in&gt;</t>
  </si>
  <si>
    <t>Deepak Gaur</t>
  </si>
  <si>
    <t>Deepak Gaur"&lt;dgaur@cdot.in&gt;</t>
  </si>
  <si>
    <t>Senthil</t>
  </si>
  <si>
    <t>senthil"&lt;senthil@sac.isro.gov.in&gt;</t>
  </si>
  <si>
    <t>Prashant Chugh</t>
  </si>
  <si>
    <t>prashant"&lt;prashant@cdot.in&gt;</t>
  </si>
  <si>
    <t>QMD Foundation HGB Composition</t>
  </si>
  <si>
    <t>S. No.</t>
  </si>
  <si>
    <t>Prof Rangan Banerjee, Director, IIT Delhi</t>
  </si>
  <si>
    <t>director &lt;director@admin.iitd.ac.in&gt;,</t>
  </si>
  <si>
    <t>Chairman</t>
  </si>
  <si>
    <t>Prof Samit Ray, IIT Kharagpur</t>
  </si>
  <si>
    <t>samit &lt;samit@bose.res.in&gt;,physkr &lt;physkr@phy.iitkgp.ac.in&gt;,</t>
  </si>
  <si>
    <t>Member</t>
  </si>
  <si>
    <t>Repeat</t>
  </si>
  <si>
    <t>Prof Venu Gopal Achanta, CSIR, NPL</t>
  </si>
  <si>
    <t>Venu Gopal Achanta &lt;achanta@nplindia.org&gt;,</t>
  </si>
  <si>
    <t>Prof Arindam Ghosh, IISC Bangalore</t>
  </si>
  <si>
    <t>Arindam Ghosh &lt;arindam@iisc.ac.in&gt;,</t>
  </si>
  <si>
    <t>Tentative</t>
  </si>
  <si>
    <t>Dr Praveer Asthana, PSA Representative</t>
  </si>
  <si>
    <t>pasthana &lt;pasthana@nic.in&gt;,</t>
  </si>
  <si>
    <t>Mr Rahul Yadav, Financial Advisor, DST</t>
  </si>
  <si>
    <t>rahulyadav &lt;rahulyadav@ord.gov.in&gt;,</t>
  </si>
  <si>
    <t>Dr JBV Reddy, Head, Quantum Technology Cell, DST</t>
  </si>
  <si>
    <t>JBV Reddy &lt;jbvreddy@nic.in&gt;,</t>
  </si>
  <si>
    <t>Prof P Murugavel, IIT Madras</t>
  </si>
  <si>
    <t>Murugavel P &lt;muruga@iitm.ac.in&gt;,</t>
  </si>
  <si>
    <t xml:space="preserve">Prof Saurabh Lodha, </t>
  </si>
  <si>
    <t>Saurabh Lodha &lt;saurabh.lodha@gmail.com&gt;,</t>
  </si>
  <si>
    <t>Prof Shailendra Varshney, IIT Kharagpur</t>
  </si>
  <si>
    <t>"Shailendra K. Varshney" &lt;skvarshney@ece.iitkgp.ac.in&gt;,</t>
  </si>
  <si>
    <t>Prof Rajendra Singh, IIT Delhi</t>
  </si>
  <si>
    <t>Rajendra Singh &lt;rsingh@physics.iitd.ac.in&gt;,</t>
  </si>
  <si>
    <t>Member Secretary</t>
  </si>
  <si>
    <t>Prof Samaresh Das, IIT Delhi</t>
  </si>
  <si>
    <t>samareshdas &lt;samareshdas@care.iitd.ac.in&gt;,</t>
  </si>
  <si>
    <t>Mr Anupam Saronwala, IAN</t>
  </si>
  <si>
    <t>Anupam Saronwala &lt;Asaronwala@gmail.com&gt;,</t>
  </si>
  <si>
    <t>Mr Rajnish Kapur, IAN</t>
  </si>
  <si>
    <t>&lt;rajnish@indianangelnetwork.com&gt;, &lt;rajnishxkapur@gmail.com&gt;,</t>
  </si>
  <si>
    <t>Not joining</t>
  </si>
  <si>
    <t>Prof Avinash Mahajan, IIT Bombay</t>
  </si>
  <si>
    <t>mahajan &lt;mahajan@phy.iitb.ac.in&gt;,</t>
  </si>
  <si>
    <t>Qmet HGB</t>
  </si>
  <si>
    <t>email</t>
  </si>
  <si>
    <t>Prof. Shireesh B.  Kedare</t>
  </si>
  <si>
    <t>director@iitb.ac.in</t>
  </si>
  <si>
    <t>Prof. Achanta Venugopal</t>
  </si>
  <si>
    <t>director.nplindia@csir.res.in</t>
  </si>
  <si>
    <t>Prof. Arul Laximinarayan</t>
  </si>
  <si>
    <t>arul@physics.iitm.ac.in</t>
  </si>
  <si>
    <t>Mr. Anil Sharma</t>
  </si>
  <si>
    <t>anil.s@tcs.com</t>
  </si>
  <si>
    <t>SHUKLA.SP@mahindra.com</t>
  </si>
  <si>
    <t>Mr. JV B Reddy</t>
  </si>
  <si>
    <t>jbvreddy@nic.in</t>
  </si>
  <si>
    <t>rudra.pratap@plaksha.edu.in</t>
  </si>
  <si>
    <t>rahulyadav@ord.gov.in</t>
  </si>
  <si>
    <t>Mr. Kiran Shesh</t>
  </si>
  <si>
    <t>Prof. Kasturi Saha</t>
  </si>
  <si>
    <t>Qmet Board</t>
  </si>
  <si>
    <t>Prof. Milind Atrey</t>
  </si>
  <si>
    <t>dd.art@iitb.ac.in</t>
  </si>
  <si>
    <t>Prof. Gudi</t>
  </si>
  <si>
    <t>dd.fia@iitb.ac.in</t>
  </si>
  <si>
    <t>BLR Hub Governing Board</t>
  </si>
  <si>
    <t>Prof. Govindan Rangarajan</t>
  </si>
  <si>
    <t>Rangaraj@iisc.ac.in</t>
  </si>
  <si>
    <t>Dr. JBV Reddy</t>
  </si>
  <si>
    <t xml:space="preserve">jbvreddy@nic.in </t>
  </si>
  <si>
    <t>Prof. Navakanta Bhat</t>
  </si>
  <si>
    <t xml:space="preserve">navakant@iisc.ac.in </t>
  </si>
  <si>
    <t>Mr. Anupam Saronwala</t>
  </si>
  <si>
    <t>asaronwala@gmail.com</t>
  </si>
  <si>
    <t>Dr. Venkat Subramaniam</t>
  </si>
  <si>
    <t>lvs004@gmail.com</t>
  </si>
  <si>
    <t>Shri Rahul Yadav</t>
  </si>
  <si>
    <t>pasthana@nic.in</t>
  </si>
  <si>
    <t>List of MGB Members</t>
  </si>
  <si>
    <r>
      <t xml:space="preserve">Dr. Ajai Chowdhry, </t>
    </r>
    <r>
      <rPr>
        <sz val="12"/>
        <color rgb="FF000000"/>
        <rFont val="Times New Roman"/>
        <family val="1"/>
        <charset val="1"/>
      </rPr>
      <t>Founder- HCL, Chairman – EPIC Foundation</t>
    </r>
  </si>
  <si>
    <r>
      <t>Dr. VK Saraswat,</t>
    </r>
    <r>
      <rPr>
        <sz val="12"/>
        <color rgb="FF000000"/>
        <rFont val="Times New Roman"/>
        <family val="1"/>
        <charset val="1"/>
      </rPr>
      <t xml:space="preserve"> Member (S&amp;T), NITI Aayog,</t>
    </r>
  </si>
  <si>
    <r>
      <t>Prof. Ajay Kumar Sood,</t>
    </r>
    <r>
      <rPr>
        <sz val="12"/>
        <color rgb="FF000000"/>
        <rFont val="Times New Roman"/>
        <family val="1"/>
        <charset val="1"/>
      </rPr>
      <t xml:space="preserve"> Principal Scientific Adviser to GoI,</t>
    </r>
  </si>
  <si>
    <r>
      <t>Prof. Abhay Karandikar,</t>
    </r>
    <r>
      <rPr>
        <sz val="12"/>
        <color rgb="FF000000"/>
        <rFont val="Times New Roman"/>
        <family val="1"/>
        <charset val="1"/>
      </rPr>
      <t xml:space="preserve"> Secretary, Department of Science &amp; Technology (DST),</t>
    </r>
  </si>
  <si>
    <r>
      <t>Shri. Manoj Kumar Jain,</t>
    </r>
    <r>
      <rPr>
        <sz val="12"/>
        <color rgb="FF000000"/>
        <rFont val="Times New Roman"/>
        <family val="1"/>
        <charset val="1"/>
      </rPr>
      <t xml:space="preserve"> Scientist-G, Ministry of Electronics &amp; Information Technology,</t>
    </r>
  </si>
  <si>
    <r>
      <t>Dr. Prashant Shukla,</t>
    </r>
    <r>
      <rPr>
        <sz val="12"/>
        <color rgb="FF000000"/>
        <rFont val="Times New Roman"/>
        <family val="1"/>
        <charset val="1"/>
      </rPr>
      <t xml:space="preserve"> TNP&amp;QCS, NPD, BARC, DAE</t>
    </r>
  </si>
  <si>
    <r>
      <t xml:space="preserve">Dr. Manish Saxena, </t>
    </r>
    <r>
      <rPr>
        <sz val="12"/>
        <color rgb="FF000000"/>
        <rFont val="Times New Roman"/>
        <family val="1"/>
        <charset val="1"/>
      </rPr>
      <t>Director SCNPO, ISRO-HQ</t>
    </r>
  </si>
  <si>
    <r>
      <t>Shri Ashok Kumar,</t>
    </r>
    <r>
      <rPr>
        <sz val="12"/>
        <color rgb="FF000000"/>
        <rFont val="Times New Roman"/>
        <family val="1"/>
        <charset val="1"/>
      </rPr>
      <t xml:space="preserve"> Dy Director General, DoT</t>
    </r>
  </si>
  <si>
    <r>
      <t>Ms. Sheena Rani,</t>
    </r>
    <r>
      <rPr>
        <sz val="12"/>
        <color rgb="FF000000"/>
        <rFont val="Times New Roman"/>
        <family val="1"/>
        <charset val="1"/>
      </rPr>
      <t xml:space="preserve"> DS &amp; Director General (Med &amp; Cos) DRDO</t>
    </r>
  </si>
  <si>
    <r>
      <t>Dr. T. V. Somanathan,</t>
    </r>
    <r>
      <rPr>
        <sz val="12"/>
        <color rgb="FF000000"/>
        <rFont val="Times New Roman"/>
        <family val="1"/>
        <charset val="1"/>
      </rPr>
      <t xml:space="preserve"> Secretary, Department of Expenditure (DoE),</t>
    </r>
  </si>
  <si>
    <r>
      <t>Prof. Rajat Moona,</t>
    </r>
    <r>
      <rPr>
        <sz val="12"/>
        <color rgb="FF000000"/>
        <rFont val="Times New Roman"/>
        <family val="1"/>
        <charset val="1"/>
      </rPr>
      <t xml:space="preserve"> Director, IIT Gandhinagar,</t>
    </r>
  </si>
  <si>
    <r>
      <t>Dr. Pradeep Kumar Khosla,</t>
    </r>
    <r>
      <rPr>
        <sz val="12"/>
        <color rgb="FF000000"/>
        <rFont val="Times New Roman"/>
        <family val="1"/>
        <charset val="1"/>
      </rPr>
      <t xml:space="preserve"> Chancellor, University of California, San Diego</t>
    </r>
  </si>
  <si>
    <r>
      <t xml:space="preserve">Ms. Yatinder Prasad, </t>
    </r>
    <r>
      <rPr>
        <sz val="12"/>
        <color rgb="FF000000"/>
        <rFont val="Times New Roman"/>
        <family val="1"/>
        <charset val="1"/>
      </rPr>
      <t>Additional Secretary &amp; Financial Adviser, DST</t>
    </r>
  </si>
  <si>
    <r>
      <t>Shri Rahul Yadav,</t>
    </r>
    <r>
      <rPr>
        <sz val="12"/>
        <color rgb="FF000000"/>
        <rFont val="Times New Roman"/>
        <family val="1"/>
        <charset val="1"/>
      </rPr>
      <t xml:space="preserve"> Director, IFD, DST</t>
    </r>
  </si>
  <si>
    <r>
      <t>Shri Dhruva Kumar Singh,</t>
    </r>
    <r>
      <rPr>
        <sz val="12"/>
        <color rgb="FF000000"/>
        <rFont val="Times New Roman"/>
        <family val="1"/>
        <charset val="1"/>
      </rPr>
      <t xml:space="preserve"> Chief Controller of Accounts, DST</t>
    </r>
  </si>
  <si>
    <r>
      <t>Shri Navin Kumar Singh</t>
    </r>
    <r>
      <rPr>
        <sz val="12"/>
        <color rgb="FF000000"/>
        <rFont val="Times New Roman"/>
        <family val="1"/>
        <charset val="1"/>
      </rPr>
      <t>, National Cyber Security Coordinator</t>
    </r>
  </si>
  <si>
    <r>
      <t xml:space="preserve">Shri G Narendra Nath, </t>
    </r>
    <r>
      <rPr>
        <sz val="12"/>
        <color rgb="FF000000"/>
        <rFont val="Times New Roman"/>
        <family val="1"/>
        <charset val="1"/>
      </rPr>
      <t>Joint Secretary, NSCS</t>
    </r>
  </si>
  <si>
    <r>
      <t>Shri A.R. Santhosh Varma,</t>
    </r>
    <r>
      <rPr>
        <sz val="12"/>
        <color rgb="FF000000"/>
        <rFont val="Times New Roman"/>
        <family val="1"/>
        <charset val="1"/>
      </rPr>
      <t xml:space="preserve"> Joint Director, Ministry of Home Affairs</t>
    </r>
  </si>
  <si>
    <r>
      <t>RAdm Kunal Singh Rajkumar,</t>
    </r>
    <r>
      <rPr>
        <sz val="12"/>
        <color rgb="FF000000"/>
        <rFont val="Times New Roman"/>
        <family val="1"/>
        <charset val="1"/>
      </rPr>
      <t xml:space="preserve"> VSM, JS (Navy &amp; Def Staff), DMA/MoD</t>
    </r>
  </si>
  <si>
    <r>
      <t>Air Mshl. Rakesh Sinha,</t>
    </r>
    <r>
      <rPr>
        <sz val="12"/>
        <color rgb="FF000000"/>
        <rFont val="Times New Roman"/>
        <family val="1"/>
        <charset val="1"/>
      </rPr>
      <t xml:space="preserve"> AVSM, DCIDS, (Ops)/ HQ IDS</t>
    </r>
  </si>
  <si>
    <r>
      <t xml:space="preserve">Capt(IN) Anil Kumar Singh, </t>
    </r>
    <r>
      <rPr>
        <sz val="12"/>
        <color rgb="FF000000"/>
        <rFont val="Arial"/>
        <family val="2"/>
        <scheme val="minor"/>
      </rPr>
      <t>Director MIC II</t>
    </r>
  </si>
  <si>
    <t>List of MTRC Members</t>
  </si>
  <si>
    <r>
      <t>Prof. Abhay Karandikar,</t>
    </r>
    <r>
      <rPr>
        <sz val="12"/>
        <color rgb="FF000000"/>
        <rFont val="Times New Roman"/>
        <family val="1"/>
        <charset val="1"/>
      </rPr>
      <t xml:space="preserve"> Secretary, Department of Science &amp; Technology (DST)</t>
    </r>
  </si>
  <si>
    <r>
      <t>Dr. Harrick Vin,</t>
    </r>
    <r>
      <rPr>
        <sz val="12"/>
        <color rgb="FF000000"/>
        <rFont val="Times New Roman"/>
        <family val="1"/>
        <charset val="1"/>
      </rPr>
      <t xml:space="preserve"> Chief Technology Officer, TCS</t>
    </r>
  </si>
  <si>
    <r>
      <t>Prof. P. J. Narayanan,</t>
    </r>
    <r>
      <rPr>
        <sz val="12"/>
        <color rgb="FF000000"/>
        <rFont val="Times New Roman"/>
        <family val="1"/>
        <charset val="1"/>
      </rPr>
      <t xml:space="preserve"> Former Director, IIIT, Hyderabad</t>
    </r>
  </si>
  <si>
    <r>
      <t>Shri Manoj Kumar Jain,</t>
    </r>
    <r>
      <rPr>
        <sz val="12"/>
        <color rgb="FF000000"/>
        <rFont val="Times New Roman"/>
        <family val="1"/>
        <charset val="1"/>
      </rPr>
      <t xml:space="preserve"> Scientist ‘G’ and Group Coordinator, R&amp;D in IT., MeitY</t>
    </r>
  </si>
  <si>
    <r>
      <t xml:space="preserve">Shri R.C. Sharma, </t>
    </r>
    <r>
      <rPr>
        <sz val="12"/>
        <color rgb="FF000000"/>
        <rFont val="Times New Roman"/>
        <family val="1"/>
        <charset val="1"/>
      </rPr>
      <t>Director (SRI-I), DoT</t>
    </r>
  </si>
  <si>
    <r>
      <t>Dr. Somna Mahajan,</t>
    </r>
    <r>
      <rPr>
        <sz val="12"/>
        <color rgb="FF000000"/>
        <rFont val="Times New Roman"/>
        <family val="1"/>
        <charset val="1"/>
      </rPr>
      <t xml:space="preserve"> Scientist 'G', Solid State Physics Laboratory (SSPL), DRDO</t>
    </r>
  </si>
  <si>
    <r>
      <t>Dr. Prashant Shukla,</t>
    </r>
    <r>
      <rPr>
        <sz val="12"/>
        <color rgb="FF000000"/>
        <rFont val="Times New Roman"/>
        <family val="1"/>
        <charset val="1"/>
      </rPr>
      <t xml:space="preserve"> TNP&amp;QCS, NPD, BARC, (Representative of DAE)</t>
    </r>
  </si>
  <si>
    <r>
      <t>Shri D K Singh,</t>
    </r>
    <r>
      <rPr>
        <sz val="12"/>
        <color rgb="FF000000"/>
        <rFont val="Times New Roman"/>
        <family val="1"/>
        <charset val="1"/>
      </rPr>
      <t xml:space="preserve"> Distinguished Scientist &amp; Deputy Director, HSTA, Space Applications Centre</t>
    </r>
  </si>
  <si>
    <r>
      <t>Prof. G. Rangarajan,</t>
    </r>
    <r>
      <rPr>
        <sz val="12"/>
        <color rgb="FF000000"/>
        <rFont val="Times New Roman"/>
        <family val="1"/>
        <charset val="1"/>
      </rPr>
      <t xml:space="preserve"> Director, IISc Bengaluru</t>
    </r>
  </si>
  <si>
    <r>
      <t>Prof. Bhaskar Ramamurthi,</t>
    </r>
    <r>
      <rPr>
        <sz val="12"/>
        <color rgb="FF000000"/>
        <rFont val="Times New Roman"/>
        <family val="1"/>
        <charset val="1"/>
      </rPr>
      <t xml:space="preserve"> Former Director, IIT Madras</t>
    </r>
  </si>
  <si>
    <r>
      <t>Prof. Shireesh B. Kedare,</t>
    </r>
    <r>
      <rPr>
        <sz val="12"/>
        <color rgb="FF000000"/>
        <rFont val="Times New Roman"/>
        <family val="1"/>
        <charset val="1"/>
      </rPr>
      <t xml:space="preserve"> Director, IIT Bombay</t>
    </r>
  </si>
  <si>
    <r>
      <t>Prof. Rangan Banerjee,</t>
    </r>
    <r>
      <rPr>
        <sz val="12"/>
        <color rgb="FF000000"/>
        <rFont val="Times New Roman"/>
        <family val="1"/>
        <charset val="1"/>
      </rPr>
      <t xml:space="preserve"> Director, IIT Delhi</t>
    </r>
  </si>
  <si>
    <r>
      <t>Ms. Yatinder Prasad,</t>
    </r>
    <r>
      <rPr>
        <sz val="12"/>
        <color rgb="FF000000"/>
        <rFont val="Times New Roman"/>
        <family val="1"/>
        <charset val="1"/>
      </rPr>
      <t xml:space="preserve"> Additional Secretary &amp; Financial Adviser, DST</t>
    </r>
  </si>
  <si>
    <r>
      <t>Shri G Narendra Nath,</t>
    </r>
    <r>
      <rPr>
        <sz val="12"/>
        <color rgb="FF000000"/>
        <rFont val="Times New Roman"/>
        <family val="1"/>
        <charset val="1"/>
      </rPr>
      <t xml:space="preserve"> Joint Secretary, NSCS</t>
    </r>
  </si>
  <si>
    <r>
      <t>Brig Rahul Anand,</t>
    </r>
    <r>
      <rPr>
        <sz val="12"/>
        <color rgb="FF000000"/>
        <rFont val="Times New Roman"/>
        <family val="1"/>
        <charset val="1"/>
      </rPr>
      <t xml:space="preserve"> DACIDS, (JCES)/ HQ IDS</t>
    </r>
  </si>
  <si>
    <t>Ashish Dutta, IFD, DST</t>
  </si>
  <si>
    <t>Srishti Girish</t>
  </si>
  <si>
    <t>Sanjana Nene</t>
  </si>
  <si>
    <t xml:space="preserve">Elton Noronha </t>
  </si>
  <si>
    <t xml:space="preserve">Aakash Gala </t>
  </si>
  <si>
    <t xml:space="preserve">Ruchi Singh </t>
  </si>
  <si>
    <t xml:space="preserve">Rutuja Chalke </t>
  </si>
  <si>
    <t xml:space="preserve">Guest </t>
  </si>
  <si>
    <r>
      <t>Dr. Somna Mahajan,</t>
    </r>
    <r>
      <rPr>
        <sz val="12"/>
        <color rgb="FF000000"/>
        <rFont val="Times New Roman"/>
        <family val="1"/>
        <charset val="1"/>
      </rPr>
      <t xml:space="preserve"> </t>
    </r>
  </si>
  <si>
    <t>Scientist 'G', Solid State Physics Laboratory (SSPL), DRDO</t>
  </si>
  <si>
    <t xml:space="preserve">Need Lake View Room </t>
  </si>
  <si>
    <t>AI-441</t>
  </si>
  <si>
    <t>AI 2944</t>
  </si>
  <si>
    <t>Sunitha Elluri</t>
  </si>
  <si>
    <t xml:space="preserve">2 people </t>
  </si>
  <si>
    <t xml:space="preserve">James </t>
  </si>
  <si>
    <t xml:space="preserve">Vijay Rao </t>
  </si>
  <si>
    <t>Member (S&amp;T), NITI Aayog,</t>
  </si>
  <si>
    <t xml:space="preserve">Shri Dhruva Kumar Singh, </t>
  </si>
  <si>
    <t>Chief Controller of Accounts, DST</t>
  </si>
  <si>
    <t>RAdm Kunal Singh Rajkumar,</t>
  </si>
  <si>
    <t xml:space="preserve"> VSM, JS (Navy &amp; Def Staff), DMA/MoD</t>
  </si>
  <si>
    <t xml:space="preserve">Dr. Somna Mahajan, </t>
  </si>
  <si>
    <t>Ashish Dutta,</t>
  </si>
  <si>
    <t xml:space="preserve"> IFD, DST</t>
  </si>
  <si>
    <t>Sr No</t>
  </si>
  <si>
    <t>Name of Startup</t>
  </si>
  <si>
    <t>Founder Name</t>
  </si>
  <si>
    <t>Mobile</t>
  </si>
  <si>
    <t>QuNu Labs Pvt. Ltd.</t>
  </si>
  <si>
    <t>Dr. Sunil Gupta</t>
  </si>
  <si>
    <t>sunil@qnulabs.com, anubhav.agarwal@qnulabs.com, dilip@qnulabs.com</t>
  </si>
  <si>
    <t>QPIAI India Pvt. Ltd.</t>
  </si>
  <si>
    <t>Dr. Nagendra Nagaraja</t>
  </si>
  <si>
    <t>nagendra.nagaraja@qpiai.tech</t>
  </si>
  <si>
    <t>Prenishq Pvt. Ltd.</t>
  </si>
  <si>
    <t>Dr. Bodhaditya Santra</t>
  </si>
  <si>
    <t>bsantra@physics.iitd.ac.in, bodhaditya.santra@physics.iitd.ac.in,bodhaditya.santra@gmail.com</t>
  </si>
  <si>
    <t>Quanastra Pvt. Ltd.</t>
  </si>
  <si>
    <t>Dr. Vidur Raj</t>
  </si>
  <si>
    <t>Vidur.Raj@Quanastra.com, vidurrs@gmail.com</t>
  </si>
  <si>
    <t>SensXT</t>
  </si>
  <si>
    <t>QBS</t>
  </si>
  <si>
    <t>GDQ Labs</t>
  </si>
  <si>
    <t>Bumblebee</t>
  </si>
  <si>
    <t xml:space="preserve">Nostradamus </t>
  </si>
  <si>
    <t>Orvis</t>
  </si>
  <si>
    <t xml:space="preserve">Dr Haree shankar </t>
  </si>
  <si>
    <t xml:space="preserve">Meghanathan </t>
  </si>
  <si>
    <t>NQM Lab</t>
  </si>
  <si>
    <t xml:space="preserve">Rajalakshmi Institute of technology </t>
  </si>
  <si>
    <t>Johnson</t>
  </si>
  <si>
    <t xml:space="preserve">I-Hub Quantum Technologies foundation </t>
  </si>
  <si>
    <t>103 PIs registered</t>
  </si>
  <si>
    <t>Order placed for 200 as of now</t>
  </si>
  <si>
    <t>Order placed for 12 Qubit crystals</t>
  </si>
  <si>
    <t>Template sent to CEOs, deadline April 05</t>
  </si>
  <si>
    <t>35 room booking done</t>
  </si>
  <si>
    <t>Bhaskaran</t>
  </si>
  <si>
    <t>Muralidharan</t>
  </si>
  <si>
    <t>(+91) 9167656370</t>
  </si>
  <si>
    <t>baskrons@gmail.com</t>
  </si>
  <si>
    <t>RAMSHANKER</t>
  </si>
  <si>
    <t>N</t>
  </si>
  <si>
    <t>(+91) 9845403352</t>
  </si>
  <si>
    <t>ramshanker@qcinnovation.co.in</t>
  </si>
  <si>
    <t>Subu</t>
  </si>
  <si>
    <t>NQM Startup</t>
  </si>
  <si>
    <t>(+91) 8105825910</t>
  </si>
  <si>
    <t>subu@quantumbiosciences.ai</t>
  </si>
  <si>
    <t>Co-Founder / CTO</t>
  </si>
  <si>
    <t>Quantum Biosciences</t>
  </si>
  <si>
    <t>Bengaluru, Karnataka</t>
  </si>
  <si>
    <t>(+91) 7908520841</t>
  </si>
  <si>
    <t>sourav.sarkar@jadavpuruniversity.in</t>
  </si>
  <si>
    <t>Co-Founder/Professor &amp; Director</t>
  </si>
  <si>
    <t>Sense-XT Innovations Pvt.Ltd/School of Mat. Sc &amp; Nanotech-Jadavpur University</t>
  </si>
  <si>
    <t>Anshul</t>
  </si>
  <si>
    <t>(+91) 7587728752</t>
  </si>
  <si>
    <t>Mrigank</t>
  </si>
  <si>
    <t>Sharad</t>
  </si>
  <si>
    <t>(+91) 9933956943</t>
  </si>
  <si>
    <t>mrigank@see.iitkgp.ac.in</t>
  </si>
  <si>
    <t>Shouvik</t>
  </si>
  <si>
    <t>Mukherjee</t>
  </si>
  <si>
    <t>(+91) 8777488192</t>
  </si>
  <si>
    <t>shouvik@qubeats.com</t>
  </si>
  <si>
    <t>Co-Founder and Chief Scientist</t>
  </si>
  <si>
    <t>QuBeats</t>
  </si>
  <si>
    <t>Rajan Kumar</t>
  </si>
  <si>
    <t>(91) 9935763628</t>
  </si>
  <si>
    <t>rajanks@iitk.ac.in</t>
  </si>
  <si>
    <t>Senior Project Executive Officer</t>
  </si>
  <si>
    <t>kamalt24@iitk.ac.in</t>
  </si>
  <si>
    <t>Sreekuttan</t>
  </si>
  <si>
    <t>LS</t>
  </si>
  <si>
    <t>(+91) 8547540241</t>
  </si>
  <si>
    <t>sreekuttan@bloq.in</t>
  </si>
  <si>
    <t>Bloq Quantum</t>
  </si>
  <si>
    <t>Kollam</t>
  </si>
  <si>
    <t>Indian Institute of Technology Delhi (IIT Delhi)</t>
  </si>
  <si>
    <t>SUV</t>
  </si>
  <si>
    <t>Sedan</t>
  </si>
  <si>
    <t xml:space="preserve">To confirm </t>
  </si>
  <si>
    <t>TG2: Wafer-scale Emitter and Detector Arrays for Multi-wavelength Room Temperature Photonic Quantum Technologies</t>
  </si>
  <si>
    <t>"1. Prof. Saurabh Lodha, IIT Bombay
2. Prof. Anshuman Kumar, IIT Bombay
3. Prof. Tanushree H. Choudhury, IIT Bombay
4. Prof. Ashish Arora, IISER Pune"</t>
  </si>
  <si>
    <t>mahanti.subham25@gmail.com</t>
  </si>
  <si>
    <t>Amrita Majumder</t>
  </si>
  <si>
    <t>amrita.majumder@iitb.ac.in</t>
  </si>
  <si>
    <t>Pratyush Biswas</t>
  </si>
  <si>
    <t>pratyushrajbiswas@gmail.com</t>
  </si>
  <si>
    <t>Sangeet Rathi</t>
  </si>
  <si>
    <t>sangeet.ph@sric.iitr.ac.in</t>
  </si>
  <si>
    <t>Shailendra Kumar Varshney, Prasana Kumar Sahoo, Mrigank Sharad, Anshuman Kumar, Rajesh Kumar, Anirban Mitra, Rajan Jha</t>
  </si>
  <si>
    <t>Mr. Maheshwar</t>
  </si>
  <si>
    <t>Mangat</t>
  </si>
  <si>
    <t>Magnetic Anomaly Detection</t>
  </si>
  <si>
    <t>Kamal Kant Tripathi</t>
  </si>
  <si>
    <t>Rakesh Dash</t>
  </si>
  <si>
    <t>rakeshd24@iitk.ac.in</t>
  </si>
  <si>
    <t>"Dr Saikat Ghosh
Dr Amitangshu Pal"</t>
  </si>
  <si>
    <t>Development of On-Demand Single Photon Emitters, Single Photon Avalanche Detectors, High-Frequency Devices and InP-Based Epitaxial Semiconductors</t>
  </si>
  <si>
    <t>Dr. Pawan Kumar Shukla</t>
  </si>
  <si>
    <t>"Prof. Rajendra Singh
Prof. Samaresh Das
Prof. Dibyajyoti Ghosh
Prof. Karun Rawat
Prof. Swaroop Ganguly
Prof. Dipankar Saha"</t>
  </si>
  <si>
    <t>TIFR-QMet cryogenic inertial positioner</t>
  </si>
  <si>
    <t>https://www.jotform.com/uploads/Qmet/260672027148052/6506815553427022903/Picsart_26-03-30_17-33-41-145.jpg</t>
  </si>
  <si>
    <t>we develop a compact, low cost Nanopositioning system capable of precise motion at nanometer scale over millimetre ranges and operating at cryogenic temperature (down to 2.0 K)</t>
  </si>
  <si>
    <t>four 5 amps power point with switches.</t>
  </si>
  <si>
    <t>The inertial nanopositioner has a very compact, lightweight and simple construction and operates using a slip-stick mechanism driven by piezoelectric actuation. The basic design has three principal parts. The active part is a piezoelectric ceramic stack, glued to a moving stage on one side and the other side is glued to a triangular metallic monorail, acting as the guiding rod. The system is supported by a fully automated, microcontroller-based control electronics with computer interfacing. Sawtooth waveform with an amplitude of 6 to 60 volts is essential in driving the piezoelectric element. We generate a sawtooth waveform using analog output from a microcontroller and OP-amp based amplifier. We use LabVIEW or python-based user interface to control the mode of operation, amplitude and frequency of the sawtooth. X and Y nanopositioner can be stack on the Z-nanopositioner. Currently fabricated two stacks of X-Y-Z nanopositioners, each with footprints of 15 × 15 mm² and 24 × 24 mm², respectively. Also the position of the nanopositioner can be sensed with an Encoder module which is incorporated within the nanopositioner.</t>
  </si>
  <si>
    <t xml:space="preserve">Shri Kishan Kejriwal Chairman of MCKV </t>
  </si>
  <si>
    <t xml:space="preserve">Soma is PI </t>
  </si>
  <si>
    <t>Sreekuttan LS</t>
  </si>
  <si>
    <t xml:space="preserve">Prof.T S Mahesh </t>
  </si>
  <si>
    <t>QpiAI India Private Limited</t>
  </si>
  <si>
    <t>Vamsi</t>
  </si>
  <si>
    <t>Krishna</t>
  </si>
  <si>
    <t>vamsi.k@qpiai.tech</t>
  </si>
  <si>
    <t>(91) 7895873873</t>
  </si>
  <si>
    <t>Firoz</t>
  </si>
  <si>
    <t>Tahashildar</t>
  </si>
  <si>
    <t>Firoz.t@qpiai.tech</t>
  </si>
  <si>
    <t>() 7353155091</t>
  </si>
  <si>
    <t>https://www.jotform.com/uploads/Qmet/260672027148052/6500608394918164434/IMG_1064%20%281%29.jpeg</t>
  </si>
  <si>
    <t>Quantum error correction</t>
  </si>
  <si>
    <t>2 sockets 220v</t>
  </si>
  <si>
    <t>QpiAI QEC is developed to enhance qubit reliability and system performance. Using advanced algorithms , it detects and corrects errors in real time, improving fidelity and extending coherence time of physical qubits.
The system implements a distance-5 rotated surface code using 49 physical qubits. Each
decoder instance runs on a single QpiAI Kaveri QPU, which provides 64 qubits, allowing one
decoder instance per chip. The architecture is optimized to support efficient decoding and
integration with existing quantum hardware.</t>
  </si>
  <si>
    <t xml:space="preserve">name to be confirmed </t>
  </si>
  <si>
    <t>no</t>
  </si>
  <si>
    <t>16/17</t>
  </si>
  <si>
    <t>20/20</t>
  </si>
  <si>
    <t>QMD - IIT Delhi &amp; FQCI IISc Bangalore</t>
  </si>
  <si>
    <t xml:space="preserve">Name </t>
  </si>
  <si>
    <t xml:space="preserve">Email </t>
  </si>
  <si>
    <t xml:space="preserve">Student Name </t>
  </si>
  <si>
    <t xml:space="preserve">Gender </t>
  </si>
  <si>
    <t xml:space="preserve">Accomodation </t>
  </si>
  <si>
    <t xml:space="preserve">Hostel </t>
  </si>
  <si>
    <t xml:space="preserve">Female </t>
  </si>
  <si>
    <t xml:space="preserve">Male </t>
  </si>
  <si>
    <t>AI-472</t>
  </si>
  <si>
    <t>6E-5233</t>
  </si>
  <si>
    <t xml:space="preserve">Harrick win </t>
  </si>
  <si>
    <t>Kiran Shesh</t>
  </si>
  <si>
    <t>Dr. Venkateswaran PS</t>
  </si>
  <si>
    <t>Aditya SG Vyas</t>
  </si>
  <si>
    <t>Dr. Tejas Naik</t>
  </si>
  <si>
    <t>Vijay A Ramanujan</t>
  </si>
  <si>
    <t>Ramya Raman</t>
  </si>
  <si>
    <t>Venkata Sudhakar Guduru</t>
  </si>
  <si>
    <t>Nahid Chaudhary</t>
  </si>
  <si>
    <t>Sourav Sarkar</t>
  </si>
  <si>
    <t>Dr. Jagrati Dwivedi</t>
  </si>
  <si>
    <t>James  Johnson</t>
  </si>
  <si>
    <t>Rajan Kumar Singh</t>
  </si>
  <si>
    <t xml:space="preserve">CEO </t>
  </si>
  <si>
    <t>Pranab</t>
  </si>
  <si>
    <t>(+91) 8527311575</t>
  </si>
  <si>
    <t>pranab@gdqlabs.com</t>
  </si>
  <si>
    <t>GDQLABS PRIVATE LIMITED</t>
  </si>
  <si>
    <t>BENGALURU</t>
  </si>
  <si>
    <t>SWAVAGYASHREE</t>
  </si>
  <si>
    <t>.</t>
  </si>
  <si>
    <t>(+91) 8618021045</t>
  </si>
  <si>
    <t>swavagyashree@orvissemi.com</t>
  </si>
  <si>
    <t>ASSOCIATE EMBEDDED ENGINNER</t>
  </si>
  <si>
    <t>ORVISSEMI PRIVATE LIMITED</t>
  </si>
  <si>
    <t>SAKET, DELHI</t>
  </si>
  <si>
    <t>Rajkumar Upadhayay</t>
  </si>
  <si>
    <t>Chief Executive Officer and Chairman Board at C-DOT, Centre for Development of Telematics</t>
  </si>
  <si>
    <t>EXPO Emails sent</t>
  </si>
  <si>
    <t>devendra.mishra@qulabs.ai</t>
  </si>
  <si>
    <t>shubham.prajapati@synergyquantum.in</t>
  </si>
  <si>
    <t>sanjay@thequantum.ai</t>
  </si>
  <si>
    <t>snehal@synergyquantum.in</t>
  </si>
  <si>
    <t>vinayak.rane@qmettech.com</t>
  </si>
  <si>
    <t>ep23b052@smail.iitm.ac.in</t>
  </si>
  <si>
    <t>Ikram@ismobiophotonics.com</t>
  </si>
  <si>
    <t>ep22b019@smail.iitm.ac.in</t>
  </si>
  <si>
    <t>p.hegde@physics.iitm.ac.in</t>
  </si>
  <si>
    <t>pritam@qubeats.com</t>
  </si>
  <si>
    <t>Event Day</t>
  </si>
  <si>
    <t>Logistics - cab support (9-12)</t>
  </si>
  <si>
    <t>Deepawali, Srishti</t>
  </si>
  <si>
    <t>GH to RP movement</t>
  </si>
  <si>
    <t>GH and hostel accommodation support (9-12)</t>
  </si>
  <si>
    <t>Santosh, Abhishek</t>
  </si>
  <si>
    <t>Swapneel</t>
  </si>
  <si>
    <t>Registration desk</t>
  </si>
  <si>
    <t>Key Event + Ruchi, Aditi</t>
  </si>
  <si>
    <t>Tea/Coffee setup at venue</t>
  </si>
  <si>
    <t>Tea/Coffee setup at venue plus green room</t>
  </si>
  <si>
    <t>Ground floor staff</t>
  </si>
  <si>
    <t>Puja, Deepawali</t>
  </si>
  <si>
    <t>8th floor staff</t>
  </si>
  <si>
    <t>Snehal</t>
  </si>
  <si>
    <t>9th floor staff</t>
  </si>
  <si>
    <t>Memento, gift arrangement backstage</t>
  </si>
  <si>
    <t>Ushers</t>
  </si>
  <si>
    <t>Key Event, Jeenal, Rachana</t>
  </si>
  <si>
    <t>Tech Expo setup</t>
  </si>
  <si>
    <t>Deepawali, Elton, Prasobh</t>
  </si>
  <si>
    <t>Lunch setup</t>
  </si>
  <si>
    <t>Swapneel, Santosh</t>
  </si>
  <si>
    <t xml:space="preserve">Auditorium </t>
  </si>
  <si>
    <t>Wajid,Rutuja</t>
  </si>
  <si>
    <t>Srishti, Ruchi, Jeenal</t>
  </si>
  <si>
    <t>Presentation (PPT) &amp; Time keeping plus PI coordination</t>
  </si>
  <si>
    <t>Audience Mic handling</t>
  </si>
  <si>
    <t>Sanjana, Elton, Joyita, Aditi</t>
  </si>
  <si>
    <t>Key Events, Elton</t>
  </si>
  <si>
    <t>Parking at RP</t>
  </si>
  <si>
    <t>Santosh, Aditya</t>
  </si>
  <si>
    <t>VIP Elevator support</t>
  </si>
  <si>
    <t>MTRC &amp; MGB Meeting setup</t>
  </si>
  <si>
    <t>Sanjana, Snehal, Aditya</t>
  </si>
  <si>
    <t>Startup presentation - IISER Pune</t>
  </si>
  <si>
    <t>Elton</t>
  </si>
  <si>
    <t>Hi-Tea setup</t>
  </si>
  <si>
    <t>Padmavihar dinner setup</t>
  </si>
  <si>
    <t>RP to GH, Hostel movement</t>
  </si>
  <si>
    <t>Deepawali, Srishti, Abhishek</t>
  </si>
  <si>
    <t>Poster setup</t>
  </si>
  <si>
    <t>Aakash, Ruchi</t>
  </si>
  <si>
    <t>Prof. Venu Gopal Achanta</t>
  </si>
  <si>
    <t>Poster participant coordination (11th)</t>
  </si>
  <si>
    <t>Ruchi, Rutuja</t>
  </si>
  <si>
    <t>Director NPL</t>
  </si>
  <si>
    <t>Srishti, Elton, Jeenal</t>
  </si>
  <si>
    <t>Student awards backstage</t>
  </si>
  <si>
    <t>Jeenal, Rutuja</t>
  </si>
  <si>
    <t>Coordinating with students for award presentation</t>
  </si>
  <si>
    <t>Overall venue cleanliness</t>
  </si>
  <si>
    <t>Aditya</t>
  </si>
  <si>
    <t>Lunch marshals</t>
  </si>
  <si>
    <t>Swapneel, Key Events</t>
  </si>
  <si>
    <t>Jeenal</t>
  </si>
  <si>
    <t>VIP Handling overall</t>
  </si>
  <si>
    <t>Flat No 1701, Wing A,
Raheja Imperia Tower,
Shankar Rao Naram Road,
Lower Parel, Mumbai -13</t>
  </si>
  <si>
    <t xml:space="preserve">To be booked </t>
  </si>
  <si>
    <t>Additional Requirements</t>
  </si>
  <si>
    <r>
      <rPr>
        <sz val="12"/>
        <rFont val="Calibri"/>
        <family val="2"/>
      </rPr>
      <t>Agency fee@10%</t>
    </r>
  </si>
  <si>
    <t>Rate</t>
  </si>
  <si>
    <t>Sr. No</t>
  </si>
  <si>
    <t>Particulars</t>
  </si>
  <si>
    <t>Qty</t>
  </si>
  <si>
    <t>Days</t>
  </si>
  <si>
    <t>Amount</t>
  </si>
  <si>
    <t>4x8 ft IIT Standees</t>
  </si>
  <si>
    <t>30x16x3 ft Flex Entry Gate</t>
  </si>
  <si>
    <t>2x3 ft Sun board 3 mm</t>
  </si>
  <si>
    <t>3x4 ft Vinay for meeting room</t>
  </si>
  <si>
    <t>Extension Board -20 Nos &amp; Extra Power Points for stalls 10 AMP &amp; 15 AMP</t>
  </si>
  <si>
    <t>Food Coupons</t>
  </si>
  <si>
    <t>8x7.5 ft Stage Backdrop</t>
  </si>
  <si>
    <t>2x4 ft Stall Tables</t>
  </si>
  <si>
    <t>A4 Q Manager Sign Holder Stand</t>
  </si>
  <si>
    <t>Registration/ Welcome Kit (Notepad 50)</t>
  </si>
  <si>
    <t>Food</t>
  </si>
  <si>
    <t>Lunch</t>
  </si>
  <si>
    <t>Hi-Tea</t>
  </si>
  <si>
    <t>Tea &amp; Coffee Stall for 2 Days with Lemon Sharbat (Water Counters with 20 Lt Jars)</t>
  </si>
  <si>
    <t>Labour and Transportation</t>
  </si>
  <si>
    <t>5,13,350.00</t>
  </si>
  <si>
    <t>5,64,685.00</t>
  </si>
  <si>
    <t>1,01,643.30</t>
  </si>
  <si>
    <t>6,66,328.30</t>
  </si>
  <si>
    <r>
      <rPr>
        <sz val="12"/>
        <rFont val="Calibri"/>
        <family val="2"/>
      </rPr>
      <t>GST@18 %</t>
    </r>
  </si>
  <si>
    <t>AI-2995 </t>
  </si>
  <si>
    <t xml:space="preserve">AI-2432  </t>
  </si>
  <si>
    <t>Ankur Raina</t>
  </si>
  <si>
    <t>Ashish Arora</t>
  </si>
  <si>
    <t>Bimalendu Deb</t>
  </si>
  <si>
    <t>Vishwa Pal</t>
  </si>
  <si>
    <t>Sourav Dutta</t>
  </si>
  <si>
    <t>Henry Sukumar</t>
  </si>
  <si>
    <t>V Natarajan</t>
  </si>
  <si>
    <t>Pratap Raychaudhari</t>
  </si>
  <si>
    <t>Tanmoy Basu</t>
  </si>
  <si>
    <t>Cannot come</t>
  </si>
  <si>
    <t>Raghavan K Easwaran</t>
  </si>
  <si>
    <t>check which TG</t>
  </si>
  <si>
    <t>Debdeep Mukopadhyay</t>
  </si>
  <si>
    <t>AI-1785</t>
  </si>
  <si>
    <t>AI-2687</t>
  </si>
  <si>
    <t xml:space="preserve">Pramod </t>
  </si>
  <si>
    <t>Watekar</t>
  </si>
  <si>
    <t xml:space="preserve">Program manager </t>
  </si>
  <si>
    <t>drpramodwatekar@iitkgp.ac.in</t>
  </si>
  <si>
    <t>Sanjay Chittore</t>
  </si>
  <si>
    <t>QAIG</t>
  </si>
  <si>
    <t>Nair</t>
  </si>
  <si>
    <t>sunil@iiserpune.ac.in</t>
  </si>
  <si>
    <t>maheshwar.mangat@iitb.ac.in</t>
  </si>
  <si>
    <t xml:space="preserve">Sunil Nair </t>
  </si>
  <si>
    <t>Poster Presentation</t>
  </si>
  <si>
    <t>Hub Staff</t>
  </si>
  <si>
    <t>MS Ramchandra Rao</t>
  </si>
  <si>
    <t>Booth Fascia/ Name</t>
  </si>
  <si>
    <t>BANGALORE</t>
  </si>
  <si>
    <t>Booth 1</t>
  </si>
  <si>
    <t>Booth 2</t>
  </si>
  <si>
    <t>Booth 3</t>
  </si>
  <si>
    <t>Booth 4</t>
  </si>
  <si>
    <t>PUNE</t>
  </si>
  <si>
    <t>MADRAS</t>
  </si>
  <si>
    <t>Quantum AI Global (QAIG)</t>
  </si>
  <si>
    <t>Devendra</t>
  </si>
  <si>
    <t>Mishra</t>
  </si>
  <si>
    <t>(+91) 7398725444</t>
  </si>
  <si>
    <t>Sanjay</t>
  </si>
  <si>
    <t>Chittore</t>
  </si>
  <si>
    <t>(+91) 9700699999</t>
  </si>
  <si>
    <t>https://www.jotform.com/uploads/Qmet/260672027148052/6506955152498788044/QAIG.jpg</t>
  </si>
  <si>
    <t>Quantum Key Distribution &amp; Q-Memory</t>
  </si>
  <si>
    <t>Enhancing QAIG’s atomic memory system to be compatible with telecom wavelengths significantly
broadens its applicability across quantum communication systems. It enables quantum key
distribution (QKD) and quantum networking over existing fiber links by shifting photons into the
low-loss telecom band.</t>
  </si>
  <si>
    <t>Anagha Gayatri</t>
  </si>
  <si>
    <t>https://www.jotform.com/uploads/Qmet/260672027148052/6506962512498199842/TAHQEECAT.jpg</t>
  </si>
  <si>
    <t>Entangled photon source at telecom wavelength</t>
  </si>
  <si>
    <t>Trusted-node Free Hybrid Quantum Secure Communication Network (TAHQEECAT)</t>
  </si>
  <si>
    <t>Synergy Quantum</t>
  </si>
  <si>
    <t>Prajapati</t>
  </si>
  <si>
    <t>(+91) 9818987581</t>
  </si>
  <si>
    <t>(+91) 7276249440</t>
  </si>
  <si>
    <t>https://www.jotform.com/uploads/Qmet/260672027148052/6506943952498197516/SynergyQuantum.jpg</t>
  </si>
  <si>
    <t>PQC-Secure 5G Core</t>
  </si>
  <si>
    <t>We are focused on Post Quantum Cryptography and we are currently incubated with Samgnya on Quantum Secure 5GCore</t>
  </si>
  <si>
    <t>BOMBAY</t>
  </si>
  <si>
    <t>15A</t>
  </si>
  <si>
    <t>Quantum Diamond Magnetometer</t>
  </si>
  <si>
    <t>() 9962648741</t>
  </si>
  <si>
    <t>https://www.jotform.com/uploads/Qmet/260672027148052/6502460634853052624/MagPI_Image_8231.jpg</t>
  </si>
  <si>
    <t>Quantum magnetometers offer a potential alternative for aerial navigation in environments where GPS is unreliable. By utilizing the Earth’s magnetic field, these sensors provide a passive navigation source that is difficult to defeat. While the technology is still maturing, it holds specific value for defense and space sectors requiring positioning redundancy in contested or remote areas. Additionally, the high sensitivity of these devices may improve the detection of localized magnetic anomalies, such as those generated by submerged vessels or metallic structures. Ultimately, integrating quantum magnetometry into existing sensor suites could provide a potential solution to vulnerabilities of satellite-dependent systems.
Qmet’s magnetometer offers high-precision magnetic field characterization with a sensitivity of 0.7 nT/√Hz and full vector measurement capabilities. Operating within a bandwidth of DC to 0.1 kHz, the system is optimized for stable static measurements and low-frequency signal detection. It features an expansive dynamic range spanning from pT to mT levels, allowing it to transition seamlessly between measuring subtle fluctuations and strong magnetic environments. Consuming 50 W of power, the device is designed to maintain robust performance for industrial or laboratory-grade applications. We have already working on improving the form factor to make it compatible with a variety of mobile applications.
Technical specifications:
Sensitivity: 0.7 pT/√Hz Bandwidth: DC – 0.1 kHz, Dynamic Range: pT to mT, Power: 50 W, Vector capability: Yes</t>
  </si>
  <si>
    <t>Lab grown diamond</t>
  </si>
  <si>
    <t>M. S. Ramachandra Rao</t>
  </si>
  <si>
    <t>Rajeev</t>
  </si>
  <si>
    <t>Gandhi</t>
  </si>
  <si>
    <t>https://www.jotform.com/uploads/Qmet/260672027148052/6506911136333847079/DiamondSamples_RP_3526.png</t>
  </si>
  <si>
    <t>NV centre sensing</t>
  </si>
  <si>
    <t>These are high-quality high purity diamond samples made by India Centre for Labgrown Diamonds (InCent LGD) at IIT Madras. As part of the centre we also have characterisation facilities that researchers and companies can access.</t>
  </si>
  <si>
    <t>Control electronics (SPELLab, IITM)</t>
  </si>
  <si>
    <t>Suthinthraraj</t>
  </si>
  <si>
    <t>(+91) 7010895601</t>
  </si>
  <si>
    <t>Aadit</t>
  </si>
  <si>
    <t>https://www.jotform.com/uploads/Qmet/260672027148052/6506926056339673188/control%20electronics.jpg</t>
  </si>
  <si>
    <t>Control electronics for NV sensing but can be useful for quantum tech too</t>
  </si>
  <si>
    <t>These are products we are developing under the NQM mission in the SPELLab (PI: Praveen Bhallamudi). These are control electronics products that include: Synchronisation pulse generators for quantum control sequences, frequency detectors (alternate to zero cross type), PLL. We have PoCs for these. We are currently working on developing digital lock-in with PLL and PID controllers for scanned probe controllers.</t>
  </si>
  <si>
    <t>ISMO Biophotonics</t>
  </si>
  <si>
    <t>Ikram</t>
  </si>
  <si>
    <t>Khan</t>
  </si>
  <si>
    <t>(+91) 95515 59159</t>
  </si>
  <si>
    <t>Hegde</t>
  </si>
  <si>
    <t>https://www.jotform.com/uploads/Qmet/260672027148052/6506935246337613220/ISMO%20Balanced%20detector.jpg</t>
  </si>
  <si>
    <t>Photodetectors for quantum technologies</t>
  </si>
  <si>
    <t>ISMO Biophotonics aims at the development of cutting edge medical devices. As part of our work with optics, they are also developing photodetectors in conjunction with SPELLab at IITM. They are being used in NV sensing and other experiments. (https://ismobiophotonics.com)</t>
  </si>
  <si>
    <t>Quazartech</t>
  </si>
  <si>
    <t>Joshua</t>
  </si>
  <si>
    <t>Mattew</t>
  </si>
  <si>
    <t>support@quazartech.com</t>
  </si>
  <si>
    <t>(+91) 1141828927</t>
  </si>
  <si>
    <t>Deshdeep</t>
  </si>
  <si>
    <t>Sahdev</t>
  </si>
  <si>
    <t>https://www.jotform.com/uploads/Qmet/260672027148052/6506951446337177374/QT-AFM.jpg</t>
  </si>
  <si>
    <t>Scanned probe microscope and probes</t>
  </si>
  <si>
    <t>Quazar Tech have developed a quartz tuning fork (QTF)- based AFM system that is highly cost effective (~3X less price) and is well suited for the development of NV-diamond based scanned probe microscopes. They also make the QTF scanning probes as well. Their first AFM system has just been successfully installed at SPELLab at IITM and is performed well during testing with standardised samples.</t>
  </si>
  <si>
    <t>2 sockets/ 220 VAC</t>
  </si>
  <si>
    <t>Pritam</t>
  </si>
  <si>
    <t>DELHI</t>
  </si>
  <si>
    <t>rakesh.25phz0003@iitrpr.ac.in</t>
  </si>
  <si>
    <t>yescaught in expo</t>
  </si>
  <si>
    <t xml:space="preserve">SCI-COM SOFTWARE INDIA PRIVATE LIMITED </t>
  </si>
  <si>
    <t>Gayathri Raman</t>
  </si>
  <si>
    <t>Maheshwar Mangat</t>
  </si>
  <si>
    <t>IITB Staff</t>
  </si>
  <si>
    <t>james_j@quantech.org.in</t>
  </si>
  <si>
    <t>Booked</t>
  </si>
  <si>
    <t>Drop to Powai Only</t>
  </si>
  <si>
    <t>ramya@samgnya.in</t>
  </si>
  <si>
    <t>Sud</t>
  </si>
  <si>
    <t>Arsh Ahmed</t>
  </si>
  <si>
    <t xml:space="preserve">Dilip Singh </t>
  </si>
  <si>
    <t>Dr. Babasaheb Raghunath Sankapal</t>
  </si>
  <si>
    <t>Prof. S Arunkumar</t>
  </si>
  <si>
    <t>Prof. P. J. Narayanan</t>
  </si>
  <si>
    <t xml:space="preserve">Dhanesh Goel </t>
  </si>
  <si>
    <t>with Vinod Kumar MTRC</t>
  </si>
  <si>
    <t>Jitendra Bhoi</t>
  </si>
  <si>
    <t>Deterministic Quantum Teleportation in a 3-Qubit Photonic System</t>
  </si>
  <si>
    <t>AI-2996</t>
  </si>
  <si>
    <t>Shri Navin Kumar Singh</t>
  </si>
  <si>
    <t>National Cyber Security Coordinator</t>
  </si>
  <si>
    <t>MGB</t>
  </si>
  <si>
    <t>MTRC</t>
  </si>
  <si>
    <t>MGB, MTRC</t>
  </si>
  <si>
    <t>HGB - Qmet</t>
  </si>
  <si>
    <t>VSM - Joint Secy, Navy &amp; DS</t>
  </si>
  <si>
    <t>Ex Director, IIT Hyderabad</t>
  </si>
  <si>
    <t>HGB - IITM</t>
  </si>
  <si>
    <t>HGB - IIT Delhi</t>
  </si>
  <si>
    <t>HGB, MGB, MTRC</t>
  </si>
  <si>
    <t>Director, Indian Institute of Technology Gandhinagar</t>
  </si>
  <si>
    <t>Dy DG, Quantum Technologies, TEC, DOT</t>
  </si>
  <si>
    <t>Considered in Expo</t>
  </si>
  <si>
    <t>IITM CDOT Samgnya</t>
  </si>
  <si>
    <t>Dr. Sunil Nair</t>
  </si>
  <si>
    <t>I-Hub QTF</t>
  </si>
  <si>
    <t>IITM CDOT Samgnya Foundation</t>
  </si>
  <si>
    <t>Organizer</t>
  </si>
  <si>
    <t>Foundation for QC Innovation</t>
  </si>
  <si>
    <t>Varsha Jangir</t>
  </si>
  <si>
    <t>Sujai Matta</t>
  </si>
  <si>
    <t>Soumya Asokan</t>
  </si>
  <si>
    <t>Shantharam Kalipatnapu</t>
  </si>
  <si>
    <t>Venkata Pavan Kalyan Missula</t>
  </si>
  <si>
    <t>Vidur Raj</t>
  </si>
  <si>
    <t>Anand Mohan</t>
  </si>
  <si>
    <t>Vaishnavi Vaichal</t>
  </si>
  <si>
    <t>Suhas Kulkarni</t>
  </si>
  <si>
    <t>AI-2977</t>
  </si>
  <si>
    <t>Bodhaditya Santra</t>
  </si>
  <si>
    <t>Shubham Utreja</t>
  </si>
  <si>
    <t>Sunil Sud</t>
  </si>
  <si>
    <t>QuNu Labs Pvt Ltd</t>
  </si>
  <si>
    <t>Vamsi Krishna</t>
  </si>
  <si>
    <t>QpiAI Pvt Ltd</t>
  </si>
  <si>
    <t>Firoz Tahashildar</t>
  </si>
  <si>
    <t>Devendra Mishra</t>
  </si>
  <si>
    <t>Ashutosh Singh</t>
  </si>
  <si>
    <t>Anagha Gayatri M</t>
  </si>
  <si>
    <t>Abhilash Kumar Das</t>
  </si>
  <si>
    <t>Anirudh Jaiswal</t>
  </si>
  <si>
    <t>bhaskarsarkar1213@gmail.com</t>
  </si>
  <si>
    <t>Bhaskar Sarkar</t>
  </si>
  <si>
    <t>Shubham Prajapati</t>
  </si>
  <si>
    <t>Snehal Sharma</t>
  </si>
  <si>
    <t>Aniket Nag</t>
  </si>
  <si>
    <t>Praveen Hegde</t>
  </si>
  <si>
    <t>Roopa J</t>
  </si>
  <si>
    <t>Purna Pal</t>
  </si>
  <si>
    <t>Shouvik Mukherjee</t>
  </si>
  <si>
    <t>Nostradamus</t>
  </si>
  <si>
    <t>Pritam Das</t>
  </si>
  <si>
    <t>Poster received</t>
  </si>
  <si>
    <t>IIT Patna</t>
  </si>
  <si>
    <t>IACS</t>
  </si>
  <si>
    <t>Delegate</t>
  </si>
  <si>
    <t>Q-Algorithm</t>
  </si>
  <si>
    <t>Quantum Algorithms</t>
  </si>
  <si>
    <t>IIT Hyderabad</t>
  </si>
  <si>
    <t>IIT Roorkee</t>
  </si>
  <si>
    <t>Birla Institute of Technology and Science (Bits)  Pilani,  Pilani Campus</t>
  </si>
  <si>
    <t>The Chatterjee Group Centres For Research and Education in Science and Technology (TCG CREST), West Bengal</t>
  </si>
  <si>
    <t>Prof. Venkata Madhuri Kalapala</t>
  </si>
  <si>
    <t>Teaching Lab</t>
  </si>
  <si>
    <t>dean_cse@gitam.edu</t>
  </si>
  <si>
    <t>Dr. Girish J</t>
  </si>
  <si>
    <t>Dr.Girish.Jammigumpula@gmrgroup.in</t>
  </si>
  <si>
    <t>Dr.Sumalatha Lingamgunta</t>
  </si>
  <si>
    <t>Dr.Suneetha Eluri</t>
  </si>
  <si>
    <t>IIT Gandhinagar</t>
  </si>
  <si>
    <t>Indian Institute of Information Technology, Dharwad</t>
  </si>
  <si>
    <t>Guru Nanak Dev University</t>
  </si>
  <si>
    <t>Rajeev Gandhi Memorial College of Engineering and Technology</t>
  </si>
  <si>
    <t>Rajiv Gandhi University of Knowledge Technologies</t>
  </si>
  <si>
    <t>Indian Institute of Information Technology Bihar</t>
  </si>
  <si>
    <t>Punjab Engineering College</t>
  </si>
  <si>
    <t>brsankapal@phy.vnit.ac.in</t>
  </si>
  <si>
    <t>National Institute of Technology Rourkela</t>
  </si>
  <si>
    <t>IIT Jodhpur</t>
  </si>
  <si>
    <t>Dr. Haree Shankar Meganathan</t>
  </si>
  <si>
    <t>Rajalakshmi Institute of Technology</t>
  </si>
  <si>
    <t>Prof. C. Muthamizhchelvan</t>
  </si>
  <si>
    <t>SRM Institute of Science and Technology</t>
  </si>
  <si>
    <t>vc@srmist.edu.in</t>
  </si>
  <si>
    <t>IIT BHU</t>
  </si>
  <si>
    <t>Mr. Kishan Kumar Kejriwal</t>
  </si>
  <si>
    <t>MCKV Institute of Engineering</t>
  </si>
  <si>
    <t>Dilip Singh</t>
  </si>
  <si>
    <t>dilip@qunulabs.com</t>
  </si>
  <si>
    <t>Sense-XT Innovations Pvt Ltd</t>
  </si>
  <si>
    <t>Pranab Dutta</t>
  </si>
  <si>
    <t>GDQLabs Pvt Ltd</t>
  </si>
  <si>
    <t>Swavagyashree</t>
  </si>
  <si>
    <t>Orvis Semi Pvt Ltd</t>
  </si>
  <si>
    <t>Subu Gupta</t>
  </si>
  <si>
    <t>Quantum Biosciences Pvt Ltd</t>
  </si>
  <si>
    <t>Hardik Joshi</t>
  </si>
  <si>
    <t>Snehal Gosavi</t>
  </si>
  <si>
    <t>Elton Noronha</t>
  </si>
  <si>
    <t>Ruchi Singh</t>
  </si>
  <si>
    <t>Puja Chakraborty</t>
  </si>
  <si>
    <t>Rachana Shiriskar</t>
  </si>
  <si>
    <t>Aditi Yadav</t>
  </si>
  <si>
    <t>Jeenal Kalal</t>
  </si>
  <si>
    <t>Santosh Shedge</t>
  </si>
  <si>
    <t>Deepawali Khade</t>
  </si>
  <si>
    <t>Swapneel Kochikar</t>
  </si>
  <si>
    <t>Aakash Gala</t>
  </si>
  <si>
    <t>Rutuja Chalke</t>
  </si>
  <si>
    <t>Wajid Khan</t>
  </si>
  <si>
    <t>Heena Pathan</t>
  </si>
  <si>
    <t>Pavithra Nair</t>
  </si>
  <si>
    <t>Shishir Dasika</t>
  </si>
  <si>
    <t>Dr. Prasobh Padmanabhan</t>
  </si>
  <si>
    <t>Vinayak Rane</t>
  </si>
  <si>
    <t>Abhijeet Ghodgaonkar</t>
  </si>
  <si>
    <t>Kali Pada Bhukta</t>
  </si>
  <si>
    <t>Jay Gharat</t>
  </si>
  <si>
    <t>Dr. Balachandar Settu</t>
  </si>
  <si>
    <t>Varsha Ingale</t>
  </si>
  <si>
    <t>Dr. Maheshwar Mangat</t>
  </si>
  <si>
    <t>maheshwar.mangat@iitb.ac.in &lt;maheshwar.mangat@iitb.ac.in&gt;</t>
  </si>
  <si>
    <t>Prof. Abhay Karandikar</t>
  </si>
  <si>
    <t>Bhavani Nakka</t>
  </si>
  <si>
    <t>Joynarayan Mukherjee</t>
  </si>
  <si>
    <t>RAdm Kunal Singh Rajkumar</t>
  </si>
  <si>
    <r>
      <rPr>
        <b/>
        <sz val="12"/>
        <color rgb="FF000000"/>
        <rFont val="Times New Roman"/>
        <family val="1"/>
      </rPr>
      <t>RAdm Kunal Singh Rajkumar,</t>
    </r>
    <r>
      <rPr>
        <sz val="12"/>
        <color rgb="FF000000"/>
        <rFont val="Times New Roman"/>
        <family val="1"/>
      </rPr>
      <t xml:space="preserve"> VSM, JS (Navy &amp; Def Staff), DMA/MoD</t>
    </r>
  </si>
  <si>
    <t>Dr. Harrick Vin</t>
  </si>
  <si>
    <t>Dr. Somna Mahajan</t>
  </si>
  <si>
    <t>S. P. Shukla</t>
  </si>
  <si>
    <t>Prof. Shireesh Kedare</t>
  </si>
  <si>
    <t>Prof. Rudra Pratap</t>
  </si>
  <si>
    <t>Shri Vinod Kumar</t>
  </si>
  <si>
    <t>Shri Dhanesh Goel</t>
  </si>
  <si>
    <t>Shri Jitendra Bhoi</t>
  </si>
  <si>
    <t>Shri Dhruva Kumar Singh</t>
  </si>
  <si>
    <t>Prof. Chandrashekhar C M</t>
  </si>
  <si>
    <t>MPI IISc</t>
  </si>
  <si>
    <t>Delhi Technological University</t>
  </si>
  <si>
    <t>name to be confirmed</t>
  </si>
  <si>
    <t>Dr. V K Saraswat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</si>
</sst>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43" formatCode="_ * #,##0.00_ ;_ * \-#,##0.00_ ;_ * &quot;-&quot;??_ ;_ @_ "/>
    <numFmt numFmtId="164" formatCode="[$-F400]h:mm:ss\ AM/PM"/>
  </numFmts>
  <fonts count="75">
    <font>
      <sz val="10"/>
      <color rgb="FF000000"/>
      <name val="Arial"/>
      <scheme val="minor"/>
    </font>
    <font>
      <sz val="10"/>
      <color theme="1"/>
      <name val="Verdana"/>
      <family val="2"/>
    </font>
    <font>
      <b/>
      <sz val="10"/>
      <color rgb="FF000000"/>
      <name val="Verdana"/>
      <family val="2"/>
    </font>
    <font>
      <sz val="10"/>
      <color rgb="FF000000"/>
      <name val="Verdana"/>
      <family val="2"/>
    </font>
    <font>
      <b/>
      <sz val="10"/>
      <color theme="1"/>
      <name val="Verdana"/>
      <family val="2"/>
    </font>
    <font>
      <b/>
      <sz val="10"/>
      <color rgb="FF000000"/>
      <name val="Arial"/>
      <family val="2"/>
      <scheme val="minor"/>
    </font>
    <font>
      <sz val="10"/>
      <color rgb="FF000000"/>
      <name val="Arial"/>
      <family val="2"/>
      <scheme val="minor"/>
    </font>
    <font>
      <b/>
      <sz val="10"/>
      <color theme="1"/>
      <name val="Arial"/>
      <family val="2"/>
      <scheme val="minor"/>
    </font>
    <font>
      <b/>
      <sz val="12"/>
      <color rgb="FF000000"/>
      <name val="Calibri"/>
      <family val="2"/>
    </font>
    <font>
      <b/>
      <sz val="11"/>
      <color rgb="FF000000"/>
      <name val="Calibri"/>
      <family val="2"/>
    </font>
    <font>
      <sz val="11"/>
      <color rgb="FF000000"/>
      <name val="Calibri"/>
      <family val="2"/>
    </font>
    <font>
      <sz val="11"/>
      <color rgb="FF000000"/>
      <name val="Tahoma"/>
      <family val="2"/>
    </font>
    <font>
      <sz val="11"/>
      <color rgb="FF000000"/>
      <name val="Arial"/>
      <family val="2"/>
    </font>
    <font>
      <sz val="11"/>
      <color rgb="FF1F497D"/>
      <name val="Calibri"/>
      <family val="2"/>
    </font>
    <font>
      <sz val="11"/>
      <color rgb="FFFF0000"/>
      <name val="Calibri"/>
      <family val="2"/>
    </font>
    <font>
      <sz val="12"/>
      <color rgb="FF1F497D"/>
      <name val="Calibri"/>
      <family val="2"/>
    </font>
    <font>
      <sz val="12"/>
      <color rgb="FF000000"/>
      <name val="Calibri"/>
      <family val="2"/>
    </font>
    <font>
      <sz val="11"/>
      <color theme="7" tint="-0.249977111117893"/>
      <name val="Calibri"/>
      <family val="2"/>
    </font>
    <font>
      <b/>
      <sz val="11"/>
      <color rgb="FFFF0000"/>
      <name val="Calibri"/>
      <family val="2"/>
    </font>
    <font>
      <sz val="10"/>
      <color rgb="FF000000"/>
      <name val="Arial"/>
      <charset val="1"/>
    </font>
    <font>
      <b/>
      <sz val="10"/>
      <name val="Calibri"/>
      <family val="2"/>
    </font>
    <font>
      <b/>
      <sz val="10"/>
      <color rgb="FF000000"/>
      <name val="Calibri"/>
      <family val="2"/>
    </font>
    <font>
      <sz val="10"/>
      <name val="Calibri"/>
      <family val="2"/>
    </font>
    <font>
      <sz val="10"/>
      <color rgb="FF000000"/>
      <name val="Calibri"/>
      <family val="2"/>
    </font>
    <font>
      <u/>
      <sz val="10"/>
      <color theme="10"/>
      <name val="Arial"/>
      <family val="2"/>
      <scheme val="minor"/>
    </font>
    <font>
      <sz val="10"/>
      <color rgb="FF000000"/>
      <name val="Arial"/>
      <family val="2"/>
    </font>
    <font>
      <sz val="11"/>
      <color rgb="FF424242"/>
      <name val="Segoe UI"/>
      <family val="2"/>
    </font>
    <font>
      <sz val="12"/>
      <color rgb="FF000000"/>
      <name val="Aptos"/>
      <family val="2"/>
    </font>
    <font>
      <sz val="10"/>
      <color rgb="FF000000"/>
      <name val="Arial"/>
    </font>
    <font>
      <sz val="10"/>
      <name val="Cambria"/>
      <family val="1"/>
    </font>
    <font>
      <b/>
      <sz val="10"/>
      <name val="Cambria"/>
      <family val="1"/>
    </font>
    <font>
      <sz val="10"/>
      <color theme="1"/>
      <name val="Arial"/>
      <scheme val="major"/>
    </font>
    <font>
      <sz val="10"/>
      <color rgb="FF000000"/>
      <name val="Arial"/>
      <scheme val="major"/>
    </font>
    <font>
      <b/>
      <sz val="9"/>
      <color indexed="81"/>
      <name val="Tahoma"/>
      <family val="2"/>
    </font>
    <font>
      <sz val="9"/>
      <color indexed="81"/>
      <name val="Tahoma"/>
      <family val="2"/>
    </font>
    <font>
      <sz val="10"/>
      <color rgb="FF000000"/>
      <name val="Arial"/>
      <family val="2"/>
      <scheme val="major"/>
    </font>
    <font>
      <sz val="10"/>
      <color rgb="FF000000"/>
      <name val="Verdana"/>
      <family val="2"/>
      <charset val="1"/>
    </font>
    <font>
      <sz val="10"/>
      <color theme="1"/>
      <name val="Arial"/>
      <family val="2"/>
      <scheme val="major"/>
    </font>
    <font>
      <b/>
      <sz val="10"/>
      <color rgb="FF000000"/>
      <name val="Roboto"/>
    </font>
    <font>
      <b/>
      <sz val="12"/>
      <color theme="1"/>
      <name val="Times New Roman"/>
      <family val="1"/>
    </font>
    <font>
      <sz val="12"/>
      <color theme="1"/>
      <name val="Times New Roman"/>
      <family val="1"/>
    </font>
    <font>
      <sz val="12"/>
      <color rgb="FF000000"/>
      <name val="Times New Roman"/>
      <family val="1"/>
    </font>
    <font>
      <u/>
      <sz val="12"/>
      <color theme="10"/>
      <name val="Times New Roman"/>
      <family val="1"/>
    </font>
    <font>
      <sz val="11"/>
      <color rgb="FF000000"/>
      <name val="Times New Roman"/>
      <family val="1"/>
    </font>
    <font>
      <sz val="11"/>
      <color theme="1"/>
      <name val="Times New Roman"/>
      <family val="1"/>
    </font>
    <font>
      <b/>
      <sz val="14"/>
      <color rgb="FF000000"/>
      <name val="Calibri"/>
      <family val="2"/>
    </font>
    <font>
      <sz val="10"/>
      <color rgb="FF000000"/>
      <name val="Inherit"/>
    </font>
    <font>
      <b/>
      <sz val="12"/>
      <color rgb="FF000000"/>
      <name val="Aptos Narrow"/>
      <family val="2"/>
    </font>
    <font>
      <sz val="11"/>
      <color rgb="FF000000"/>
      <name val="Aptos Narrow"/>
      <family val="2"/>
    </font>
    <font>
      <sz val="12"/>
      <color rgb="FF000000"/>
      <name val="Aptos Narrow"/>
      <family val="2"/>
    </font>
    <font>
      <sz val="12"/>
      <color rgb="FF222222"/>
      <name val="Aptos Narrow"/>
      <family val="2"/>
    </font>
    <font>
      <b/>
      <u/>
      <sz val="11"/>
      <color rgb="FF000000"/>
      <name val="Aptos Narrow"/>
      <family val="2"/>
    </font>
    <font>
      <b/>
      <sz val="11"/>
      <color rgb="FF000000"/>
      <name val="Aptos Narrow"/>
      <family val="2"/>
    </font>
    <font>
      <u/>
      <sz val="11"/>
      <color rgb="FF467886"/>
      <name val="Aptos Narrow"/>
      <family val="2"/>
    </font>
    <font>
      <b/>
      <u/>
      <sz val="12"/>
      <color rgb="FF000000"/>
      <name val="Times New Roman"/>
      <family val="1"/>
      <charset val="1"/>
    </font>
    <font>
      <b/>
      <sz val="12"/>
      <color rgb="FF000000"/>
      <name val="Times New Roman"/>
      <family val="1"/>
      <charset val="1"/>
    </font>
    <font>
      <b/>
      <sz val="12"/>
      <color rgb="FF000000"/>
      <name val="Arial"/>
      <family val="2"/>
      <scheme val="minor"/>
    </font>
    <font>
      <sz val="12"/>
      <color rgb="FF000000"/>
      <name val="Times New Roman"/>
      <family val="1"/>
      <charset val="1"/>
    </font>
    <font>
      <sz val="12"/>
      <color rgb="FF000000"/>
      <name val="Arial"/>
      <family val="2"/>
      <scheme val="minor"/>
    </font>
    <font>
      <b/>
      <sz val="14"/>
      <color theme="1"/>
      <name val="Times New Roman"/>
      <family val="1"/>
    </font>
    <font>
      <b/>
      <sz val="14"/>
      <color rgb="FF000000"/>
      <name val="Times New Roman"/>
      <family val="1"/>
    </font>
    <font>
      <sz val="14"/>
      <color theme="1"/>
      <name val="Times New Roman"/>
      <family val="1"/>
    </font>
    <font>
      <sz val="14"/>
      <color rgb="FF000000"/>
      <name val="Times New Roman"/>
      <family val="1"/>
    </font>
    <font>
      <sz val="10"/>
      <color rgb="FF000000"/>
      <name val="Arial"/>
      <scheme val="minor"/>
    </font>
    <font>
      <sz val="10"/>
      <color rgb="FF000000"/>
      <name val="Open Sans"/>
      <family val="2"/>
      <charset val="1"/>
    </font>
    <font>
      <sz val="8"/>
      <color rgb="FF000000"/>
      <name val="Arial"/>
      <family val="2"/>
      <scheme val="major"/>
    </font>
    <font>
      <b/>
      <sz val="12"/>
      <name val="Calibri"/>
      <family val="2"/>
    </font>
    <font>
      <sz val="12"/>
      <name val="Calibri"/>
      <family val="2"/>
    </font>
    <font>
      <sz val="11"/>
      <color rgb="FFFF0000"/>
      <name val="Aptos Narrow"/>
      <family val="2"/>
    </font>
    <font>
      <sz val="11"/>
      <color rgb="FF242424"/>
      <name val="Aptos Narrow"/>
      <charset val="1"/>
    </font>
    <font>
      <b/>
      <sz val="10"/>
      <color theme="0"/>
      <name val="Arial"/>
      <family val="2"/>
      <scheme val="minor"/>
    </font>
    <font>
      <sz val="11"/>
      <color rgb="FF242424"/>
      <name val="Aptos Narrow"/>
      <family val="2"/>
    </font>
    <font>
      <sz val="10"/>
      <color rgb="FF000000"/>
      <name val="Arial"/>
      <charset val="1"/>
      <scheme val="minor"/>
    </font>
    <font>
      <sz val="10"/>
      <color theme="6"/>
      <name val="Arial"/>
      <family val="2"/>
      <scheme val="minor"/>
    </font>
    <font>
      <b/>
      <sz val="12"/>
      <color rgb="FF000000"/>
      <name val="Times New Roman"/>
      <family val="1"/>
    </font>
  </fonts>
  <fills count="56">
    <fill>
      <patternFill patternType="none"/>
    </fill>
    <fill>
      <patternFill patternType="gray125"/>
    </fill>
    <fill>
      <patternFill patternType="solid">
        <fgColor rgb="FFEFEFEF"/>
        <bgColor rgb="FFEFEFEF"/>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rgb="FF8DB4E2"/>
        <bgColor indexed="64"/>
      </patternFill>
    </fill>
    <fill>
      <patternFill patternType="solid">
        <fgColor rgb="FFF79646"/>
        <bgColor indexed="64"/>
      </patternFill>
    </fill>
    <fill>
      <patternFill patternType="solid">
        <fgColor rgb="FFC5D9F1"/>
        <bgColor indexed="64"/>
      </patternFill>
    </fill>
    <fill>
      <patternFill patternType="solid">
        <fgColor rgb="FFDCE6F1"/>
        <bgColor indexed="64"/>
      </patternFill>
    </fill>
    <fill>
      <patternFill patternType="solid">
        <fgColor rgb="FFFDE9D9"/>
        <bgColor indexed="64"/>
      </patternFill>
    </fill>
    <fill>
      <patternFill patternType="solid">
        <fgColor rgb="FFFFFFFF"/>
        <bgColor rgb="FF000000"/>
      </patternFill>
    </fill>
    <fill>
      <patternFill patternType="solid">
        <fgColor rgb="FFFFFFFF"/>
        <bgColor rgb="FFFFFFFF"/>
      </patternFill>
    </fill>
    <fill>
      <patternFill patternType="solid">
        <fgColor rgb="FFFFFF00"/>
        <bgColor rgb="FF000000"/>
      </patternFill>
    </fill>
    <fill>
      <patternFill patternType="solid">
        <fgColor rgb="FFD1F1DA"/>
        <bgColor rgb="FF000000"/>
      </patternFill>
    </fill>
    <fill>
      <patternFill patternType="solid">
        <fgColor rgb="FFD9E7FD"/>
        <bgColor rgb="FF000000"/>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7"/>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7030A0"/>
        <bgColor indexed="64"/>
      </patternFill>
    </fill>
    <fill>
      <patternFill patternType="solid">
        <fgColor rgb="FFF4CCCC"/>
        <bgColor indexed="64"/>
      </patternFill>
    </fill>
    <fill>
      <patternFill patternType="solid">
        <fgColor rgb="FFFFFFFF"/>
        <bgColor indexed="64"/>
      </patternFill>
    </fill>
    <fill>
      <patternFill patternType="solid">
        <fgColor rgb="FF92D050"/>
        <bgColor rgb="FF000000"/>
      </patternFill>
    </fill>
    <fill>
      <patternFill patternType="solid">
        <fgColor rgb="FFB3CEFB"/>
        <bgColor rgb="FF000000"/>
      </patternFill>
    </fill>
    <fill>
      <patternFill patternType="solid">
        <fgColor rgb="FFE49EDD"/>
        <bgColor rgb="FF000000"/>
      </patternFill>
    </fill>
    <fill>
      <patternFill patternType="solid">
        <fgColor rgb="FFF28E86"/>
        <bgColor rgb="FF000000"/>
      </patternFill>
    </fill>
    <fill>
      <patternFill patternType="solid">
        <fgColor rgb="FFE8E8E8"/>
        <bgColor rgb="FF000000"/>
      </patternFill>
    </fill>
    <fill>
      <patternFill patternType="solid">
        <fgColor rgb="FFD9D9D9"/>
        <bgColor rgb="FF000000"/>
      </patternFill>
    </fill>
    <fill>
      <patternFill patternType="solid">
        <fgColor rgb="FFFBE2D5"/>
        <bgColor rgb="FF000000"/>
      </patternFill>
    </fill>
    <fill>
      <patternFill patternType="solid">
        <fgColor rgb="FFC1F0C8"/>
        <bgColor rgb="FF000000"/>
      </patternFill>
    </fill>
    <fill>
      <patternFill patternType="solid">
        <fgColor rgb="FFCAEDFB"/>
        <bgColor rgb="FF000000"/>
      </patternFill>
    </fill>
    <fill>
      <patternFill patternType="solid">
        <fgColor rgb="FFF2F2F2"/>
        <bgColor rgb="FF000000"/>
      </patternFill>
    </fill>
    <fill>
      <patternFill patternType="solid">
        <fgColor theme="6" tint="0.39997558519241921"/>
        <bgColor indexed="64"/>
      </patternFill>
    </fill>
    <fill>
      <patternFill patternType="solid">
        <fgColor rgb="FF8DB4E1"/>
      </patternFill>
    </fill>
    <fill>
      <patternFill patternType="solid">
        <fgColor rgb="FFDCE6F0"/>
      </patternFill>
    </fill>
    <fill>
      <patternFill patternType="solid">
        <fgColor rgb="FFFCE9D9"/>
      </patternFill>
    </fill>
    <fill>
      <patternFill patternType="solid">
        <fgColor theme="8" tint="0.79998168889431442"/>
        <bgColor indexed="64"/>
      </patternFill>
    </fill>
    <fill>
      <patternFill patternType="solid">
        <fgColor theme="4"/>
        <bgColor indexed="64"/>
      </patternFill>
    </fill>
    <fill>
      <patternFill patternType="solid">
        <fgColor rgb="FFFFCCFF"/>
        <bgColor indexed="64"/>
      </patternFill>
    </fill>
    <fill>
      <patternFill patternType="solid">
        <fgColor rgb="FF00B050"/>
        <bgColor indexed="64"/>
      </patternFill>
    </fill>
    <fill>
      <patternFill patternType="solid">
        <fgColor theme="8"/>
        <bgColor indexed="64"/>
      </patternFill>
    </fill>
    <fill>
      <patternFill patternType="solid">
        <fgColor theme="6"/>
        <bgColor indexed="64"/>
      </patternFill>
    </fill>
    <fill>
      <patternFill patternType="solid">
        <fgColor theme="3" tint="0.499984740745262"/>
        <bgColor indexed="64"/>
      </patternFill>
    </fill>
    <fill>
      <patternFill patternType="solid">
        <fgColor theme="6" tint="-0.499984740745262"/>
        <bgColor indexed="64"/>
      </patternFill>
    </fill>
    <fill>
      <patternFill patternType="solid">
        <fgColor rgb="FF0070C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indexed="64"/>
      </right>
      <top style="thin">
        <color indexed="64"/>
      </top>
      <bottom/>
      <diagonal/>
    </border>
    <border>
      <left style="medium">
        <color rgb="FFABABAB"/>
      </left>
      <right style="medium">
        <color rgb="FFABABAB"/>
      </right>
      <top style="medium">
        <color rgb="FFABABAB"/>
      </top>
      <bottom style="medium">
        <color rgb="FFABABAB"/>
      </bottom>
      <diagonal/>
    </border>
    <border>
      <left/>
      <right style="medium">
        <color rgb="FFABABAB"/>
      </right>
      <top style="medium">
        <color rgb="FFABABAB"/>
      </top>
      <bottom style="medium">
        <color rgb="FFABABAB"/>
      </bottom>
      <diagonal/>
    </border>
    <border>
      <left style="thin">
        <color indexed="64"/>
      </left>
      <right/>
      <top/>
      <bottom style="thin">
        <color indexed="64"/>
      </bottom>
      <diagonal/>
    </border>
    <border>
      <left style="thin">
        <color rgb="FF000000"/>
      </left>
      <right style="thin">
        <color rgb="FF000000"/>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thin">
        <color rgb="FF000000"/>
      </left>
      <right/>
      <top style="thin">
        <color rgb="FF000000"/>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style="thin">
        <color rgb="FFCCCCCC"/>
      </left>
      <right style="thin">
        <color rgb="FF000000"/>
      </right>
      <top style="thin">
        <color rgb="FF000000"/>
      </top>
      <bottom/>
      <diagonal/>
    </border>
    <border>
      <left style="thin">
        <color rgb="FF000000"/>
      </left>
      <right style="thin">
        <color rgb="FFCCCCCC"/>
      </right>
      <top/>
      <bottom style="thin">
        <color rgb="FF000000"/>
      </bottom>
      <diagonal/>
    </border>
    <border>
      <left style="thin">
        <color rgb="FFCCCCCC"/>
      </left>
      <right style="thin">
        <color rgb="FFCCCCCC"/>
      </right>
      <top/>
      <bottom style="thin">
        <color rgb="FF000000"/>
      </bottom>
      <diagonal/>
    </border>
    <border>
      <left style="thin">
        <color rgb="FFCCCCCC"/>
      </left>
      <right style="thin">
        <color rgb="FF000000"/>
      </right>
      <top/>
      <bottom style="thin">
        <color rgb="FF000000"/>
      </bottom>
      <diagonal/>
    </border>
    <border>
      <left style="thin">
        <color indexed="64"/>
      </left>
      <right/>
      <top style="thin">
        <color indexed="64"/>
      </top>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CCCCCC"/>
      </left>
      <right style="medium">
        <color rgb="FFCCCCCC"/>
      </right>
      <top/>
      <bottom/>
      <diagonal/>
    </border>
    <border>
      <left style="thin">
        <color indexed="64"/>
      </left>
      <right style="thin">
        <color indexed="64"/>
      </right>
      <top/>
      <bottom style="thin">
        <color rgb="FF000000"/>
      </bottom>
      <diagonal/>
    </border>
  </borders>
  <cellStyleXfs count="4">
    <xf numFmtId="0" fontId="0" fillId="0" borderId="0"/>
    <xf numFmtId="0" fontId="24" fillId="0" borderId="0" applyNumberFormat="0" applyFill="0" applyBorder="0" applyAlignment="0" applyProtection="0"/>
    <xf numFmtId="44" fontId="63" fillId="0" borderId="0" applyFont="0" applyFill="0" applyBorder="0" applyAlignment="0" applyProtection="0"/>
    <xf numFmtId="43" fontId="63" fillId="0" borderId="0" applyFont="0" applyFill="0" applyBorder="0" applyAlignment="0" applyProtection="0"/>
  </cellStyleXfs>
  <cellXfs count="676">
    <xf numFmtId="0" fontId="0" fillId="0" borderId="0" xfId="0"/>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xf numFmtId="0" fontId="4" fillId="2" borderId="1" xfId="0" applyFont="1" applyFill="1" applyBorder="1" applyAlignment="1">
      <alignment wrapText="1"/>
    </xf>
    <xf numFmtId="0" fontId="2" fillId="2" borderId="1" xfId="0" applyFont="1" applyFill="1" applyBorder="1" applyAlignment="1">
      <alignment horizontal="left" wrapText="1"/>
    </xf>
    <xf numFmtId="0" fontId="3" fillId="0" borderId="1" xfId="0" applyFont="1" applyBorder="1" applyAlignment="1">
      <alignment horizontal="left" wrapText="1"/>
    </xf>
    <xf numFmtId="0" fontId="1" fillId="0" borderId="1" xfId="0" applyFont="1" applyBorder="1" applyAlignment="1">
      <alignment wrapText="1"/>
    </xf>
    <xf numFmtId="0" fontId="1" fillId="0" borderId="1" xfId="0" applyFont="1" applyBorder="1"/>
    <xf numFmtId="0" fontId="3" fillId="0" borderId="1" xfId="0" applyFont="1" applyBorder="1"/>
    <xf numFmtId="0" fontId="3" fillId="0" borderId="1" xfId="0" applyFont="1" applyBorder="1" applyAlignment="1">
      <alignment wrapText="1"/>
    </xf>
    <xf numFmtId="0" fontId="7" fillId="5" borderId="1" xfId="0" applyFont="1" applyFill="1" applyBorder="1" applyAlignment="1">
      <alignment vertical="top" wrapText="1"/>
    </xf>
    <xf numFmtId="0" fontId="7" fillId="5" borderId="5" xfId="0" applyFont="1" applyFill="1" applyBorder="1" applyAlignment="1">
      <alignment vertical="top" wrapText="1"/>
    </xf>
    <xf numFmtId="0" fontId="7" fillId="0" borderId="1" xfId="0" applyFont="1" applyBorder="1" applyAlignment="1">
      <alignment vertical="top"/>
    </xf>
    <xf numFmtId="0" fontId="7" fillId="0" borderId="5" xfId="0" applyFont="1" applyBorder="1" applyAlignment="1">
      <alignment vertical="top"/>
    </xf>
    <xf numFmtId="0" fontId="7" fillId="0" borderId="10" xfId="0" applyFont="1" applyBorder="1" applyAlignment="1">
      <alignment vertical="top"/>
    </xf>
    <xf numFmtId="0" fontId="7" fillId="0" borderId="11" xfId="0" applyFont="1" applyBorder="1" applyAlignment="1">
      <alignment horizontal="left" vertical="top"/>
    </xf>
    <xf numFmtId="14" fontId="0" fillId="0" borderId="0" xfId="0" applyNumberFormat="1"/>
    <xf numFmtId="20" fontId="0" fillId="0" borderId="0" xfId="0" applyNumberFormat="1"/>
    <xf numFmtId="0" fontId="0" fillId="0" borderId="0" xfId="0" applyAlignment="1">
      <alignment vertical="top"/>
    </xf>
    <xf numFmtId="0" fontId="8" fillId="7" borderId="1" xfId="0" applyFont="1" applyFill="1" applyBorder="1" applyAlignment="1">
      <alignment horizontal="center" vertical="top" wrapText="1"/>
    </xf>
    <xf numFmtId="0" fontId="8" fillId="7" borderId="1" xfId="0" applyFont="1" applyFill="1" applyBorder="1" applyAlignment="1">
      <alignment vertical="top" wrapText="1"/>
    </xf>
    <xf numFmtId="0" fontId="8" fillId="8" borderId="1" xfId="0" applyFont="1" applyFill="1" applyBorder="1" applyAlignment="1">
      <alignment horizontal="center" vertical="top" wrapText="1"/>
    </xf>
    <xf numFmtId="0" fontId="8" fillId="8" borderId="1" xfId="0" applyFont="1" applyFill="1" applyBorder="1" applyAlignment="1">
      <alignment vertical="top" wrapText="1"/>
    </xf>
    <xf numFmtId="0" fontId="9" fillId="0" borderId="1" xfId="0" applyFont="1" applyBorder="1" applyAlignment="1">
      <alignment horizontal="center" vertical="top" wrapText="1"/>
    </xf>
    <xf numFmtId="0" fontId="9" fillId="0" borderId="1" xfId="0" applyFont="1" applyBorder="1" applyAlignment="1">
      <alignment vertical="top" wrapText="1"/>
    </xf>
    <xf numFmtId="0" fontId="10" fillId="0" borderId="1" xfId="0" applyFont="1" applyBorder="1" applyAlignment="1">
      <alignment horizontal="center" vertical="top" wrapText="1"/>
    </xf>
    <xf numFmtId="4" fontId="10" fillId="0" borderId="1" xfId="0" applyNumberFormat="1" applyFont="1" applyBorder="1" applyAlignment="1">
      <alignment horizontal="right" vertical="top" wrapText="1"/>
    </xf>
    <xf numFmtId="0" fontId="10" fillId="0" borderId="1" xfId="0" applyFont="1" applyBorder="1" applyAlignment="1">
      <alignment vertical="top" wrapText="1"/>
    </xf>
    <xf numFmtId="0" fontId="10" fillId="0" borderId="1" xfId="0" applyFont="1" applyBorder="1" applyAlignment="1">
      <alignment horizontal="right" vertical="top" wrapText="1"/>
    </xf>
    <xf numFmtId="0" fontId="9" fillId="9" borderId="1" xfId="0" applyFont="1" applyFill="1" applyBorder="1" applyAlignment="1">
      <alignment horizontal="center" vertical="top" wrapText="1"/>
    </xf>
    <xf numFmtId="0" fontId="9" fillId="9" borderId="1" xfId="0" applyFont="1" applyFill="1" applyBorder="1" applyAlignment="1">
      <alignment vertical="top" wrapText="1"/>
    </xf>
    <xf numFmtId="0" fontId="10" fillId="9" borderId="1" xfId="0" applyFont="1" applyFill="1" applyBorder="1" applyAlignment="1">
      <alignment horizontal="center" vertical="top" wrapText="1"/>
    </xf>
    <xf numFmtId="0" fontId="10" fillId="9" borderId="1" xfId="0" applyFont="1" applyFill="1" applyBorder="1" applyAlignment="1">
      <alignment horizontal="right" vertical="top" wrapText="1"/>
    </xf>
    <xf numFmtId="0" fontId="11" fillId="0" borderId="1" xfId="0" applyFont="1" applyBorder="1" applyAlignment="1">
      <alignment vertical="top" wrapText="1"/>
    </xf>
    <xf numFmtId="0" fontId="10" fillId="9" borderId="1" xfId="0" applyFont="1" applyFill="1" applyBorder="1" applyAlignment="1">
      <alignment vertical="top" wrapText="1"/>
    </xf>
    <xf numFmtId="0" fontId="9" fillId="10" borderId="1" xfId="0" applyFont="1" applyFill="1" applyBorder="1" applyAlignment="1">
      <alignment horizontal="center" vertical="top" wrapText="1"/>
    </xf>
    <xf numFmtId="0" fontId="9" fillId="10" borderId="1" xfId="0" applyFont="1" applyFill="1" applyBorder="1" applyAlignment="1">
      <alignment vertical="top" wrapText="1"/>
    </xf>
    <xf numFmtId="0" fontId="10" fillId="10" borderId="1" xfId="0" applyFont="1" applyFill="1" applyBorder="1" applyAlignment="1">
      <alignment horizontal="center" vertical="top" wrapText="1"/>
    </xf>
    <xf numFmtId="0" fontId="10" fillId="10" borderId="1" xfId="0" applyFont="1" applyFill="1" applyBorder="1" applyAlignment="1">
      <alignment horizontal="right" vertical="top" wrapText="1"/>
    </xf>
    <xf numFmtId="0" fontId="12" fillId="0" borderId="1" xfId="0" applyFont="1" applyBorder="1" applyAlignment="1">
      <alignment vertical="top" wrapText="1"/>
    </xf>
    <xf numFmtId="0" fontId="13" fillId="9" borderId="1" xfId="0" applyFont="1" applyFill="1" applyBorder="1" applyAlignment="1">
      <alignment horizontal="center" vertical="top" wrapText="1"/>
    </xf>
    <xf numFmtId="0" fontId="9" fillId="8" borderId="1" xfId="0" applyFont="1" applyFill="1" applyBorder="1" applyAlignment="1">
      <alignment horizontal="center" vertical="top" wrapText="1"/>
    </xf>
    <xf numFmtId="0" fontId="9" fillId="8" borderId="1" xfId="0" applyFont="1" applyFill="1" applyBorder="1" applyAlignment="1">
      <alignment vertical="top" wrapText="1"/>
    </xf>
    <xf numFmtId="0" fontId="14" fillId="8" borderId="1" xfId="0" applyFont="1" applyFill="1" applyBorder="1" applyAlignment="1">
      <alignment horizontal="center" vertical="top" wrapText="1"/>
    </xf>
    <xf numFmtId="0" fontId="13" fillId="0" borderId="1" xfId="0" applyFont="1" applyBorder="1" applyAlignment="1">
      <alignment horizontal="center" vertical="top" wrapText="1"/>
    </xf>
    <xf numFmtId="0" fontId="15" fillId="11" borderId="1" xfId="0" applyFont="1" applyFill="1" applyBorder="1" applyAlignment="1">
      <alignment horizontal="center" vertical="top" wrapText="1"/>
    </xf>
    <xf numFmtId="0" fontId="11" fillId="11" borderId="1" xfId="0" applyFont="1" applyFill="1" applyBorder="1" applyAlignment="1">
      <alignment vertical="top" wrapText="1"/>
    </xf>
    <xf numFmtId="4" fontId="8" fillId="11" borderId="1" xfId="0" applyNumberFormat="1" applyFont="1" applyFill="1" applyBorder="1" applyAlignment="1">
      <alignment vertical="top" wrapText="1"/>
    </xf>
    <xf numFmtId="0" fontId="15" fillId="0" borderId="1" xfId="0" applyFont="1" applyBorder="1" applyAlignment="1">
      <alignment horizontal="center" vertical="top" wrapText="1"/>
    </xf>
    <xf numFmtId="4" fontId="16" fillId="0" borderId="1" xfId="0" applyNumberFormat="1" applyFont="1" applyBorder="1" applyAlignment="1">
      <alignment horizontal="right" vertical="top" wrapText="1"/>
    </xf>
    <xf numFmtId="0" fontId="14" fillId="0" borderId="1" xfId="0" applyFont="1" applyBorder="1" applyAlignment="1">
      <alignment vertical="top" wrapText="1"/>
    </xf>
    <xf numFmtId="0" fontId="14" fillId="0" borderId="1" xfId="0" applyFont="1" applyBorder="1" applyAlignment="1">
      <alignment horizontal="center" vertical="top" wrapText="1"/>
    </xf>
    <xf numFmtId="0" fontId="17" fillId="0" borderId="1" xfId="0" applyFont="1" applyBorder="1" applyAlignment="1">
      <alignment vertical="top" wrapText="1"/>
    </xf>
    <xf numFmtId="0" fontId="17" fillId="0" borderId="1" xfId="0" applyFont="1" applyBorder="1" applyAlignment="1">
      <alignment horizontal="center" vertical="top" wrapText="1"/>
    </xf>
    <xf numFmtId="4" fontId="14" fillId="0" borderId="1" xfId="0" applyNumberFormat="1" applyFont="1" applyBorder="1" applyAlignment="1">
      <alignment horizontal="right" vertical="top" wrapText="1"/>
    </xf>
    <xf numFmtId="0" fontId="14" fillId="0" borderId="1" xfId="0" applyFont="1" applyBorder="1" applyAlignment="1">
      <alignment horizontal="right" vertical="top" wrapText="1"/>
    </xf>
    <xf numFmtId="0" fontId="19" fillId="0" borderId="2" xfId="0" applyFont="1" applyBorder="1" applyAlignment="1">
      <alignment vertical="top" wrapText="1" readingOrder="1"/>
    </xf>
    <xf numFmtId="22" fontId="19" fillId="0" borderId="2" xfId="0" applyNumberFormat="1" applyFont="1" applyBorder="1" applyAlignment="1">
      <alignment vertical="top" wrapText="1" readingOrder="1"/>
    </xf>
    <xf numFmtId="0" fontId="6" fillId="0" borderId="0" xfId="0" applyFont="1"/>
    <xf numFmtId="0" fontId="24" fillId="0" borderId="0" xfId="1"/>
    <xf numFmtId="0" fontId="20" fillId="12" borderId="1" xfId="0" applyFont="1" applyFill="1" applyBorder="1" applyAlignment="1">
      <alignment vertical="top" wrapText="1"/>
    </xf>
    <xf numFmtId="0" fontId="20" fillId="12" borderId="12" xfId="0" applyFont="1" applyFill="1" applyBorder="1" applyAlignment="1">
      <alignment vertical="top" wrapText="1"/>
    </xf>
    <xf numFmtId="0" fontId="20" fillId="12" borderId="6" xfId="0" applyFont="1" applyFill="1" applyBorder="1" applyAlignment="1">
      <alignment vertical="top" wrapText="1"/>
    </xf>
    <xf numFmtId="0" fontId="21" fillId="12" borderId="6" xfId="0" applyFont="1" applyFill="1" applyBorder="1" applyAlignment="1">
      <alignment vertical="top" wrapText="1"/>
    </xf>
    <xf numFmtId="0" fontId="22" fillId="12" borderId="10" xfId="0" applyFont="1" applyFill="1" applyBorder="1" applyAlignment="1">
      <alignment vertical="top" wrapText="1"/>
    </xf>
    <xf numFmtId="0" fontId="22" fillId="12" borderId="13" xfId="0" applyFont="1" applyFill="1" applyBorder="1" applyAlignment="1">
      <alignment vertical="top" wrapText="1"/>
    </xf>
    <xf numFmtId="0" fontId="22" fillId="12" borderId="11" xfId="0" applyFont="1" applyFill="1" applyBorder="1" applyAlignment="1">
      <alignment vertical="top" wrapText="1"/>
    </xf>
    <xf numFmtId="0" fontId="23" fillId="12" borderId="11" xfId="0" applyFont="1" applyFill="1" applyBorder="1" applyAlignment="1">
      <alignment vertical="top" wrapText="1"/>
    </xf>
    <xf numFmtId="0" fontId="23" fillId="0" borderId="11" xfId="0" applyFont="1" applyBorder="1" applyAlignment="1">
      <alignment vertical="top" wrapText="1"/>
    </xf>
    <xf numFmtId="0" fontId="23" fillId="12" borderId="4" xfId="0" applyFont="1" applyFill="1" applyBorder="1" applyAlignment="1">
      <alignment vertical="top" wrapText="1"/>
    </xf>
    <xf numFmtId="0" fontId="23" fillId="12" borderId="6" xfId="0" applyFont="1" applyFill="1" applyBorder="1" applyAlignment="1">
      <alignment vertical="top" wrapText="1"/>
    </xf>
    <xf numFmtId="0" fontId="24" fillId="12" borderId="11" xfId="1" applyFill="1" applyBorder="1" applyAlignment="1">
      <alignment vertical="top" wrapText="1" readingOrder="1"/>
    </xf>
    <xf numFmtId="0" fontId="23" fillId="0" borderId="6" xfId="0" applyFont="1" applyBorder="1" applyAlignment="1">
      <alignment vertical="top" wrapText="1"/>
    </xf>
    <xf numFmtId="0" fontId="24" fillId="0" borderId="0" xfId="1" applyAlignment="1">
      <alignment vertical="top" wrapText="1"/>
    </xf>
    <xf numFmtId="0" fontId="23" fillId="12" borderId="10" xfId="0" applyFont="1" applyFill="1" applyBorder="1" applyAlignment="1">
      <alignment vertical="top" wrapText="1"/>
    </xf>
    <xf numFmtId="0" fontId="25" fillId="0" borderId="0" xfId="0" applyFont="1" applyAlignment="1">
      <alignment vertical="top" wrapText="1"/>
    </xf>
    <xf numFmtId="0" fontId="24" fillId="13" borderId="6" xfId="1" applyFill="1" applyBorder="1" applyAlignment="1">
      <alignment vertical="top" wrapText="1"/>
    </xf>
    <xf numFmtId="0" fontId="23" fillId="0" borderId="14" xfId="0" applyFont="1" applyBorder="1" applyAlignment="1">
      <alignment vertical="top" wrapText="1"/>
    </xf>
    <xf numFmtId="0" fontId="23" fillId="0" borderId="15" xfId="0" applyFont="1" applyBorder="1" applyAlignment="1">
      <alignment vertical="top" wrapText="1"/>
    </xf>
    <xf numFmtId="0" fontId="23" fillId="12" borderId="11" xfId="0" applyFont="1" applyFill="1" applyBorder="1" applyAlignment="1">
      <alignment vertical="top" wrapText="1" readingOrder="1"/>
    </xf>
    <xf numFmtId="0" fontId="22" fillId="0" borderId="10" xfId="0" applyFont="1" applyBorder="1" applyAlignment="1">
      <alignment vertical="top" wrapText="1"/>
    </xf>
    <xf numFmtId="0" fontId="22" fillId="0" borderId="13" xfId="0" applyFont="1" applyBorder="1" applyAlignment="1">
      <alignment vertical="top" wrapText="1"/>
    </xf>
    <xf numFmtId="0" fontId="22" fillId="0" borderId="11" xfId="0" applyFont="1" applyBorder="1" applyAlignment="1">
      <alignment vertical="top" wrapText="1"/>
    </xf>
    <xf numFmtId="0" fontId="23" fillId="0" borderId="4" xfId="0" applyFont="1" applyBorder="1" applyAlignment="1">
      <alignment vertical="top" wrapText="1"/>
    </xf>
    <xf numFmtId="0" fontId="24" fillId="13" borderId="11" xfId="1" applyFill="1" applyBorder="1" applyAlignment="1">
      <alignment vertical="top" wrapText="1"/>
    </xf>
    <xf numFmtId="0" fontId="23" fillId="12" borderId="16" xfId="0" applyFont="1" applyFill="1" applyBorder="1" applyAlignment="1">
      <alignment vertical="top" wrapText="1"/>
    </xf>
    <xf numFmtId="0" fontId="22" fillId="14" borderId="13" xfId="0" applyFont="1" applyFill="1" applyBorder="1" applyAlignment="1">
      <alignment vertical="top" wrapText="1"/>
    </xf>
    <xf numFmtId="0" fontId="23" fillId="0" borderId="3" xfId="0" applyFont="1" applyBorder="1" applyAlignment="1">
      <alignment vertical="top" wrapText="1"/>
    </xf>
    <xf numFmtId="0" fontId="23" fillId="0" borderId="1" xfId="0" applyFont="1" applyBorder="1" applyAlignment="1">
      <alignment vertical="top" wrapText="1"/>
    </xf>
    <xf numFmtId="0" fontId="23" fillId="0" borderId="10" xfId="0" applyFont="1" applyBorder="1" applyAlignment="1">
      <alignment vertical="top" wrapText="1"/>
    </xf>
    <xf numFmtId="0" fontId="23" fillId="15" borderId="11" xfId="0" applyFont="1" applyFill="1" applyBorder="1" applyAlignment="1">
      <alignment vertical="top" wrapText="1" readingOrder="1"/>
    </xf>
    <xf numFmtId="0" fontId="23" fillId="16" borderId="11" xfId="0" applyFont="1" applyFill="1" applyBorder="1" applyAlignment="1">
      <alignment vertical="top" wrapText="1" readingOrder="1"/>
    </xf>
    <xf numFmtId="0" fontId="24" fillId="0" borderId="11" xfId="1" applyBorder="1" applyAlignment="1">
      <alignment vertical="top" wrapText="1"/>
    </xf>
    <xf numFmtId="0" fontId="24" fillId="12" borderId="6" xfId="1" applyFill="1" applyBorder="1" applyAlignment="1">
      <alignment vertical="top" wrapText="1" readingOrder="1"/>
    </xf>
    <xf numFmtId="0" fontId="23" fillId="12" borderId="6" xfId="0" applyFont="1" applyFill="1" applyBorder="1" applyAlignment="1">
      <alignment vertical="top" wrapText="1" readingOrder="1"/>
    </xf>
    <xf numFmtId="0" fontId="23" fillId="0" borderId="19" xfId="0" applyFont="1" applyBorder="1" applyAlignment="1">
      <alignment vertical="top" wrapText="1"/>
    </xf>
    <xf numFmtId="0" fontId="23" fillId="0" borderId="0" xfId="0" applyFont="1" applyAlignment="1">
      <alignment vertical="top" wrapText="1"/>
    </xf>
    <xf numFmtId="0" fontId="25" fillId="0" borderId="2" xfId="0" applyFont="1" applyBorder="1" applyAlignment="1">
      <alignment vertical="top" wrapText="1" readingOrder="1"/>
    </xf>
    <xf numFmtId="0" fontId="0" fillId="0" borderId="2" xfId="0" applyBorder="1" applyAlignment="1">
      <alignment vertical="top" wrapText="1"/>
    </xf>
    <xf numFmtId="0" fontId="0" fillId="0" borderId="2" xfId="0" applyBorder="1" applyAlignment="1">
      <alignment vertical="top"/>
    </xf>
    <xf numFmtId="0" fontId="19" fillId="3" borderId="2" xfId="0" applyFont="1" applyFill="1" applyBorder="1" applyAlignment="1">
      <alignment vertical="top" wrapText="1" readingOrder="1"/>
    </xf>
    <xf numFmtId="0" fontId="0" fillId="3" borderId="2" xfId="0" applyFill="1" applyBorder="1" applyAlignment="1">
      <alignment vertical="top"/>
    </xf>
    <xf numFmtId="0" fontId="0" fillId="3" borderId="0" xfId="0" applyFill="1"/>
    <xf numFmtId="22" fontId="19" fillId="18" borderId="2" xfId="0" applyNumberFormat="1" applyFont="1" applyFill="1" applyBorder="1" applyAlignment="1">
      <alignment vertical="top" wrapText="1" readingOrder="1"/>
    </xf>
    <xf numFmtId="0" fontId="19" fillId="18" borderId="2" xfId="0" applyFont="1" applyFill="1" applyBorder="1" applyAlignment="1">
      <alignment vertical="top" wrapText="1" readingOrder="1"/>
    </xf>
    <xf numFmtId="0" fontId="0" fillId="18" borderId="2" xfId="0" applyFill="1" applyBorder="1" applyAlignment="1">
      <alignment vertical="top"/>
    </xf>
    <xf numFmtId="0" fontId="0" fillId="18" borderId="2" xfId="0" applyFill="1" applyBorder="1" applyAlignment="1">
      <alignment vertical="top" wrapText="1"/>
    </xf>
    <xf numFmtId="0" fontId="0" fillId="18" borderId="0" xfId="0" applyFill="1"/>
    <xf numFmtId="22" fontId="19" fillId="19" borderId="2" xfId="0" applyNumberFormat="1" applyFont="1" applyFill="1" applyBorder="1" applyAlignment="1">
      <alignment vertical="top" wrapText="1" readingOrder="1"/>
    </xf>
    <xf numFmtId="0" fontId="19" fillId="19" borderId="2" xfId="0" applyFont="1" applyFill="1" applyBorder="1" applyAlignment="1">
      <alignment vertical="top" wrapText="1" readingOrder="1"/>
    </xf>
    <xf numFmtId="0" fontId="0" fillId="19" borderId="2" xfId="0" applyFill="1" applyBorder="1" applyAlignment="1">
      <alignment vertical="top"/>
    </xf>
    <xf numFmtId="0" fontId="0" fillId="19" borderId="2" xfId="0" applyFill="1" applyBorder="1" applyAlignment="1">
      <alignment vertical="top" wrapText="1"/>
    </xf>
    <xf numFmtId="0" fontId="0" fillId="19" borderId="0" xfId="0" applyFill="1"/>
    <xf numFmtId="0" fontId="25" fillId="19" borderId="2" xfId="0" applyFont="1" applyFill="1" applyBorder="1" applyAlignment="1">
      <alignment vertical="top" wrapText="1" readingOrder="1"/>
    </xf>
    <xf numFmtId="0" fontId="6" fillId="19" borderId="2" xfId="0" applyFont="1" applyFill="1" applyBorder="1" applyAlignment="1">
      <alignment vertical="top"/>
    </xf>
    <xf numFmtId="22" fontId="6" fillId="0" borderId="21" xfId="0" applyNumberFormat="1" applyFont="1" applyBorder="1" applyAlignment="1">
      <alignment horizontal="right" wrapText="1"/>
    </xf>
    <xf numFmtId="0" fontId="6" fillId="0" borderId="21" xfId="0" applyFont="1" applyBorder="1" applyAlignment="1">
      <alignment wrapText="1"/>
    </xf>
    <xf numFmtId="22" fontId="6" fillId="18" borderId="21" xfId="0" applyNumberFormat="1" applyFont="1" applyFill="1" applyBorder="1" applyAlignment="1">
      <alignment horizontal="right" wrapText="1"/>
    </xf>
    <xf numFmtId="0" fontId="6" fillId="18" borderId="21" xfId="0" applyFont="1" applyFill="1" applyBorder="1" applyAlignment="1">
      <alignment wrapText="1"/>
    </xf>
    <xf numFmtId="22" fontId="6" fillId="3" borderId="21" xfId="0" applyNumberFormat="1" applyFont="1" applyFill="1" applyBorder="1" applyAlignment="1">
      <alignment horizontal="right" wrapText="1"/>
    </xf>
    <xf numFmtId="0" fontId="6" fillId="3" borderId="21" xfId="0" applyFont="1" applyFill="1" applyBorder="1" applyAlignment="1">
      <alignment wrapText="1"/>
    </xf>
    <xf numFmtId="0" fontId="6" fillId="18" borderId="0" xfId="0" applyFont="1" applyFill="1"/>
    <xf numFmtId="0" fontId="22" fillId="12" borderId="19" xfId="0" applyFont="1" applyFill="1" applyBorder="1" applyAlignment="1">
      <alignment vertical="top" wrapText="1"/>
    </xf>
    <xf numFmtId="0" fontId="23" fillId="0" borderId="13" xfId="0" applyFont="1" applyBorder="1" applyAlignment="1">
      <alignment vertical="top" wrapText="1"/>
    </xf>
    <xf numFmtId="0" fontId="25" fillId="0" borderId="11" xfId="0" applyFont="1" applyBorder="1" applyAlignment="1">
      <alignment vertical="top" wrapText="1"/>
    </xf>
    <xf numFmtId="0" fontId="23" fillId="12" borderId="0" xfId="0" applyFont="1" applyFill="1" applyAlignment="1">
      <alignment vertical="top" wrapText="1" readingOrder="1"/>
    </xf>
    <xf numFmtId="0" fontId="23" fillId="15" borderId="0" xfId="0" applyFont="1" applyFill="1" applyAlignment="1">
      <alignment vertical="top" wrapText="1" readingOrder="1"/>
    </xf>
    <xf numFmtId="0" fontId="24" fillId="0" borderId="6" xfId="1" applyBorder="1" applyAlignment="1">
      <alignment vertical="top" wrapText="1"/>
    </xf>
    <xf numFmtId="0" fontId="23" fillId="12" borderId="0" xfId="0" applyFont="1" applyFill="1" applyAlignment="1">
      <alignment vertical="top" wrapText="1"/>
    </xf>
    <xf numFmtId="0" fontId="24" fillId="12" borderId="11" xfId="1" applyFill="1" applyBorder="1" applyAlignment="1">
      <alignment vertical="top" wrapText="1"/>
    </xf>
    <xf numFmtId="0" fontId="24" fillId="0" borderId="17" xfId="1" applyBorder="1" applyAlignment="1">
      <alignment vertical="top" wrapText="1"/>
    </xf>
    <xf numFmtId="0" fontId="24" fillId="13" borderId="0" xfId="1" applyFill="1" applyBorder="1" applyAlignment="1">
      <alignment vertical="top" wrapText="1"/>
    </xf>
    <xf numFmtId="0" fontId="25" fillId="0" borderId="6" xfId="0" applyFont="1" applyBorder="1" applyAlignment="1">
      <alignment vertical="top" wrapText="1"/>
    </xf>
    <xf numFmtId="0" fontId="27" fillId="12" borderId="11" xfId="0" applyFont="1" applyFill="1" applyBorder="1" applyAlignment="1">
      <alignment vertical="top" wrapText="1" readingOrder="1"/>
    </xf>
    <xf numFmtId="0" fontId="24" fillId="13" borderId="17" xfId="1" applyFill="1" applyBorder="1" applyAlignment="1">
      <alignment vertical="top" wrapText="1"/>
    </xf>
    <xf numFmtId="0" fontId="24" fillId="0" borderId="0" xfId="1" applyBorder="1" applyAlignment="1">
      <alignment vertical="top" wrapText="1"/>
    </xf>
    <xf numFmtId="0" fontId="23" fillId="12" borderId="17" xfId="0" applyFont="1" applyFill="1" applyBorder="1" applyAlignment="1">
      <alignment vertical="top" wrapText="1" readingOrder="1"/>
    </xf>
    <xf numFmtId="0" fontId="26" fillId="12" borderId="11" xfId="0" applyFont="1" applyFill="1" applyBorder="1" applyAlignment="1">
      <alignment vertical="top" wrapText="1"/>
    </xf>
    <xf numFmtId="0" fontId="23" fillId="12" borderId="18" xfId="0" applyFont="1" applyFill="1" applyBorder="1" applyAlignment="1">
      <alignment vertical="top" wrapText="1"/>
    </xf>
    <xf numFmtId="0" fontId="23" fillId="0" borderId="16" xfId="0" applyFont="1" applyBorder="1" applyAlignment="1">
      <alignment vertical="top" wrapText="1"/>
    </xf>
    <xf numFmtId="0" fontId="23" fillId="12" borderId="3" xfId="0" applyFont="1" applyFill="1" applyBorder="1" applyAlignment="1">
      <alignment vertical="top" wrapText="1"/>
    </xf>
    <xf numFmtId="0" fontId="25" fillId="0" borderId="16" xfId="0" applyFont="1" applyBorder="1" applyAlignment="1">
      <alignment vertical="top" wrapText="1"/>
    </xf>
    <xf numFmtId="0" fontId="23" fillId="12" borderId="14" xfId="0" applyFont="1" applyFill="1" applyBorder="1" applyAlignment="1">
      <alignment vertical="top" wrapText="1"/>
    </xf>
    <xf numFmtId="0" fontId="23" fillId="12" borderId="15" xfId="0" applyFont="1" applyFill="1" applyBorder="1" applyAlignment="1">
      <alignment vertical="top" wrapText="1"/>
    </xf>
    <xf numFmtId="0" fontId="25" fillId="0" borderId="4" xfId="0" applyFont="1" applyBorder="1" applyAlignment="1">
      <alignment vertical="top" wrapText="1"/>
    </xf>
    <xf numFmtId="0" fontId="21" fillId="12" borderId="4" xfId="0" applyFont="1" applyFill="1" applyBorder="1" applyAlignment="1">
      <alignment vertical="top" wrapText="1"/>
    </xf>
    <xf numFmtId="0" fontId="29" fillId="17" borderId="1" xfId="0" applyFont="1" applyFill="1" applyBorder="1" applyAlignment="1">
      <alignment horizontal="center" vertical="center"/>
    </xf>
    <xf numFmtId="0" fontId="29" fillId="17" borderId="1" xfId="0" applyFont="1" applyFill="1" applyBorder="1"/>
    <xf numFmtId="0" fontId="29" fillId="17" borderId="1" xfId="0" applyFont="1" applyFill="1" applyBorder="1" applyAlignment="1">
      <alignment vertical="top"/>
    </xf>
    <xf numFmtId="0" fontId="30" fillId="19" borderId="1" xfId="0" applyFont="1" applyFill="1" applyBorder="1" applyAlignment="1">
      <alignment horizontal="center" vertical="center"/>
    </xf>
    <xf numFmtId="0" fontId="30" fillId="19" borderId="1" xfId="0" applyFont="1" applyFill="1" applyBorder="1" applyAlignment="1">
      <alignment vertical="center"/>
    </xf>
    <xf numFmtId="0" fontId="5" fillId="19" borderId="0" xfId="0" applyFont="1" applyFill="1"/>
    <xf numFmtId="0" fontId="29" fillId="18" borderId="1" xfId="0" applyFont="1" applyFill="1" applyBorder="1" applyAlignment="1">
      <alignment horizontal="center" vertical="center"/>
    </xf>
    <xf numFmtId="0" fontId="29" fillId="18" borderId="1" xfId="0" applyFont="1" applyFill="1" applyBorder="1"/>
    <xf numFmtId="0" fontId="29" fillId="18" borderId="1" xfId="0" applyFont="1" applyFill="1" applyBorder="1" applyAlignment="1">
      <alignment vertical="top"/>
    </xf>
    <xf numFmtId="0" fontId="29" fillId="17" borderId="7" xfId="0" applyFont="1" applyFill="1" applyBorder="1"/>
    <xf numFmtId="0" fontId="25" fillId="18" borderId="0" xfId="0" applyFont="1" applyFill="1" applyAlignment="1">
      <alignment vertical="top" wrapText="1"/>
    </xf>
    <xf numFmtId="0" fontId="29" fillId="21" borderId="1" xfId="0" applyFont="1" applyFill="1" applyBorder="1"/>
    <xf numFmtId="0" fontId="29" fillId="21" borderId="8" xfId="0" applyFont="1" applyFill="1" applyBorder="1"/>
    <xf numFmtId="0" fontId="0" fillId="0" borderId="0" xfId="0" pivotButton="1"/>
    <xf numFmtId="0" fontId="0" fillId="0" borderId="0" xfId="0" applyAlignment="1">
      <alignment horizontal="left"/>
    </xf>
    <xf numFmtId="0" fontId="29" fillId="17" borderId="8" xfId="0" applyFont="1" applyFill="1" applyBorder="1" applyAlignment="1">
      <alignment horizontal="center" vertical="center"/>
    </xf>
    <xf numFmtId="0" fontId="7" fillId="4" borderId="0" xfId="0" applyFont="1" applyFill="1" applyAlignment="1">
      <alignment vertical="top" wrapText="1"/>
    </xf>
    <xf numFmtId="0" fontId="0" fillId="3" borderId="2" xfId="0" applyFill="1" applyBorder="1"/>
    <xf numFmtId="0" fontId="6" fillId="23" borderId="21" xfId="0" applyFont="1" applyFill="1" applyBorder="1" applyAlignment="1">
      <alignment vertical="center"/>
    </xf>
    <xf numFmtId="0" fontId="31" fillId="4" borderId="1" xfId="0" applyFont="1" applyFill="1" applyBorder="1" applyAlignment="1">
      <alignment vertical="top" wrapText="1"/>
    </xf>
    <xf numFmtId="0" fontId="0" fillId="0" borderId="0" xfId="0" applyAlignment="1">
      <alignment vertical="top" wrapText="1"/>
    </xf>
    <xf numFmtId="0" fontId="19" fillId="0" borderId="2" xfId="0" applyFont="1" applyBorder="1" applyAlignment="1">
      <alignment vertical="top" wrapText="1"/>
    </xf>
    <xf numFmtId="0" fontId="19" fillId="0" borderId="0" xfId="0" applyFont="1" applyAlignment="1">
      <alignment vertical="top" wrapText="1"/>
    </xf>
    <xf numFmtId="0" fontId="19" fillId="0" borderId="24" xfId="0" applyFont="1" applyBorder="1" applyAlignment="1">
      <alignment vertical="top" wrapText="1" readingOrder="1"/>
    </xf>
    <xf numFmtId="0" fontId="19" fillId="0" borderId="25" xfId="0" applyFont="1" applyBorder="1" applyAlignment="1">
      <alignment vertical="top" wrapText="1" readingOrder="1"/>
    </xf>
    <xf numFmtId="0" fontId="19" fillId="0" borderId="26" xfId="0" applyFont="1" applyBorder="1" applyAlignment="1">
      <alignment vertical="top" wrapText="1" readingOrder="1"/>
    </xf>
    <xf numFmtId="0" fontId="24" fillId="0" borderId="25" xfId="1" applyBorder="1" applyAlignment="1">
      <alignment readingOrder="1"/>
    </xf>
    <xf numFmtId="0" fontId="24" fillId="0" borderId="25" xfId="1" applyBorder="1" applyAlignment="1">
      <alignment vertical="top" wrapText="1" readingOrder="1"/>
    </xf>
    <xf numFmtId="0" fontId="24" fillId="0" borderId="2" xfId="1" applyBorder="1" applyAlignment="1">
      <alignment vertical="top" wrapText="1" readingOrder="1"/>
    </xf>
    <xf numFmtId="0" fontId="0" fillId="0" borderId="2" xfId="0" applyBorder="1"/>
    <xf numFmtId="0" fontId="24" fillId="0" borderId="2" xfId="1" applyBorder="1" applyAlignment="1">
      <alignment readingOrder="1"/>
    </xf>
    <xf numFmtId="0" fontId="19" fillId="3" borderId="2" xfId="0" applyFont="1" applyFill="1" applyBorder="1" applyAlignment="1">
      <alignment vertical="top" wrapText="1"/>
    </xf>
    <xf numFmtId="22" fontId="0" fillId="19" borderId="21" xfId="0" applyNumberFormat="1" applyFill="1" applyBorder="1" applyAlignment="1">
      <alignment horizontal="right" wrapText="1"/>
    </xf>
    <xf numFmtId="0" fontId="0" fillId="19" borderId="21" xfId="0" applyFill="1" applyBorder="1" applyAlignment="1">
      <alignment wrapText="1"/>
    </xf>
    <xf numFmtId="0" fontId="0" fillId="23" borderId="2" xfId="0" applyFill="1" applyBorder="1"/>
    <xf numFmtId="0" fontId="0" fillId="23" borderId="0" xfId="0" applyFill="1"/>
    <xf numFmtId="0" fontId="25" fillId="0" borderId="24" xfId="0" applyFont="1" applyBorder="1" applyAlignment="1">
      <alignment readingOrder="1"/>
    </xf>
    <xf numFmtId="0" fontId="25" fillId="0" borderId="25" xfId="0" applyFont="1" applyBorder="1" applyAlignment="1">
      <alignment readingOrder="1"/>
    </xf>
    <xf numFmtId="0" fontId="25" fillId="0" borderId="25" xfId="0" applyFont="1" applyBorder="1" applyAlignment="1">
      <alignment wrapText="1" readingOrder="1"/>
    </xf>
    <xf numFmtId="0" fontId="25" fillId="0" borderId="26" xfId="0" applyFont="1" applyBorder="1" applyAlignment="1">
      <alignment readingOrder="1"/>
    </xf>
    <xf numFmtId="0" fontId="25" fillId="0" borderId="0" xfId="0" applyFont="1"/>
    <xf numFmtId="0" fontId="25" fillId="0" borderId="2" xfId="0" applyFont="1" applyBorder="1" applyAlignment="1">
      <alignment vertical="top" wrapText="1"/>
    </xf>
    <xf numFmtId="0" fontId="0" fillId="0" borderId="1" xfId="0" applyBorder="1"/>
    <xf numFmtId="0" fontId="32" fillId="0" borderId="1" xfId="0" applyFont="1" applyBorder="1"/>
    <xf numFmtId="0" fontId="32" fillId="0" borderId="1" xfId="0" applyFont="1" applyBorder="1" applyAlignment="1">
      <alignment horizontal="left" vertical="top"/>
    </xf>
    <xf numFmtId="0" fontId="19" fillId="25" borderId="2" xfId="0" applyFont="1" applyFill="1" applyBorder="1" applyAlignment="1">
      <alignment vertical="top" wrapText="1" readingOrder="1"/>
    </xf>
    <xf numFmtId="0" fontId="25" fillId="25" borderId="25" xfId="0" applyFont="1" applyFill="1" applyBorder="1" applyAlignment="1">
      <alignment readingOrder="1"/>
    </xf>
    <xf numFmtId="0" fontId="19" fillId="26" borderId="2" xfId="0" applyFont="1" applyFill="1" applyBorder="1" applyAlignment="1">
      <alignment vertical="top" wrapText="1" readingOrder="1"/>
    </xf>
    <xf numFmtId="0" fontId="0" fillId="0" borderId="2" xfId="0" applyBorder="1" applyAlignment="1">
      <alignment wrapText="1"/>
    </xf>
    <xf numFmtId="0" fontId="6" fillId="0" borderId="2" xfId="0" applyFont="1" applyBorder="1" applyAlignment="1">
      <alignment wrapText="1"/>
    </xf>
    <xf numFmtId="0" fontId="36" fillId="0" borderId="0" xfId="0" applyFont="1"/>
    <xf numFmtId="0" fontId="0" fillId="0" borderId="27" xfId="0" applyBorder="1"/>
    <xf numFmtId="0" fontId="6" fillId="19" borderId="0" xfId="0" applyFont="1" applyFill="1" applyAlignment="1">
      <alignment wrapText="1"/>
    </xf>
    <xf numFmtId="0" fontId="6" fillId="0" borderId="0" xfId="0" applyFont="1" applyAlignment="1">
      <alignment wrapText="1"/>
    </xf>
    <xf numFmtId="22" fontId="0" fillId="18" borderId="21" xfId="0" applyNumberFormat="1" applyFill="1" applyBorder="1" applyAlignment="1">
      <alignment horizontal="right" wrapText="1"/>
    </xf>
    <xf numFmtId="0" fontId="0" fillId="18" borderId="21" xfId="0" applyFill="1" applyBorder="1" applyAlignment="1">
      <alignment wrapText="1"/>
    </xf>
    <xf numFmtId="22" fontId="0" fillId="3" borderId="21" xfId="0" applyNumberFormat="1" applyFill="1" applyBorder="1" applyAlignment="1">
      <alignment horizontal="right" wrapText="1"/>
    </xf>
    <xf numFmtId="0" fontId="0" fillId="3" borderId="21" xfId="0" applyFill="1" applyBorder="1" applyAlignment="1">
      <alignment wrapText="1"/>
    </xf>
    <xf numFmtId="0" fontId="25" fillId="0" borderId="0" xfId="0" applyFont="1" applyAlignment="1">
      <alignment readingOrder="1"/>
    </xf>
    <xf numFmtId="0" fontId="25" fillId="0" borderId="0" xfId="0" applyFont="1" applyAlignment="1">
      <alignment wrapText="1" readingOrder="1"/>
    </xf>
    <xf numFmtId="0" fontId="25" fillId="0" borderId="31" xfId="0" applyFont="1" applyBorder="1" applyAlignment="1">
      <alignment readingOrder="1"/>
    </xf>
    <xf numFmtId="0" fontId="25" fillId="0" borderId="32" xfId="0" applyFont="1" applyBorder="1" applyAlignment="1">
      <alignment readingOrder="1"/>
    </xf>
    <xf numFmtId="0" fontId="24" fillId="0" borderId="32" xfId="1" applyBorder="1" applyAlignment="1">
      <alignment readingOrder="1"/>
    </xf>
    <xf numFmtId="0" fontId="25" fillId="0" borderId="32" xfId="0" applyFont="1" applyBorder="1" applyAlignment="1">
      <alignment wrapText="1" readingOrder="1"/>
    </xf>
    <xf numFmtId="0" fontId="25" fillId="0" borderId="33" xfId="0" applyFont="1" applyBorder="1" applyAlignment="1">
      <alignment readingOrder="1"/>
    </xf>
    <xf numFmtId="0" fontId="24" fillId="0" borderId="0" xfId="1" applyBorder="1" applyAlignment="1">
      <alignment readingOrder="1"/>
    </xf>
    <xf numFmtId="0" fontId="25" fillId="0" borderId="2" xfId="0" applyFont="1" applyBorder="1" applyAlignment="1">
      <alignment readingOrder="1"/>
    </xf>
    <xf numFmtId="0" fontId="25" fillId="0" borderId="2" xfId="0" applyFont="1" applyBorder="1" applyAlignment="1">
      <alignment wrapText="1" readingOrder="1"/>
    </xf>
    <xf numFmtId="0" fontId="25" fillId="0" borderId="14" xfId="0" applyFont="1" applyBorder="1" applyAlignment="1">
      <alignment readingOrder="1"/>
    </xf>
    <xf numFmtId="0" fontId="1" fillId="0" borderId="1" xfId="0" applyFont="1" applyBorder="1" applyAlignment="1">
      <alignment vertical="top" wrapText="1"/>
    </xf>
    <xf numFmtId="0" fontId="25" fillId="28" borderId="25" xfId="0" quotePrefix="1" applyFont="1" applyFill="1" applyBorder="1" applyAlignment="1">
      <alignment readingOrder="1"/>
    </xf>
    <xf numFmtId="0" fontId="25" fillId="28" borderId="29" xfId="0" applyFont="1" applyFill="1" applyBorder="1" applyAlignment="1">
      <alignment readingOrder="1"/>
    </xf>
    <xf numFmtId="0" fontId="25" fillId="28" borderId="25" xfId="0" applyFont="1" applyFill="1" applyBorder="1" applyAlignment="1">
      <alignment readingOrder="1"/>
    </xf>
    <xf numFmtId="0" fontId="37" fillId="4" borderId="1" xfId="0" applyFont="1" applyFill="1" applyBorder="1" applyAlignment="1">
      <alignment vertical="top" wrapText="1"/>
    </xf>
    <xf numFmtId="0" fontId="25" fillId="28" borderId="24" xfId="0" applyFont="1" applyFill="1" applyBorder="1" applyAlignment="1">
      <alignment readingOrder="1"/>
    </xf>
    <xf numFmtId="0" fontId="24" fillId="28" borderId="25" xfId="1" applyFill="1" applyBorder="1" applyAlignment="1">
      <alignment readingOrder="1"/>
    </xf>
    <xf numFmtId="0" fontId="25" fillId="28" borderId="25" xfId="0" applyFont="1" applyFill="1" applyBorder="1" applyAlignment="1">
      <alignment wrapText="1" readingOrder="1"/>
    </xf>
    <xf numFmtId="0" fontId="25" fillId="28" borderId="26" xfId="0" applyFont="1" applyFill="1" applyBorder="1" applyAlignment="1">
      <alignment readingOrder="1"/>
    </xf>
    <xf numFmtId="0" fontId="25" fillId="28" borderId="28" xfId="0" applyFont="1" applyFill="1" applyBorder="1" applyAlignment="1">
      <alignment readingOrder="1"/>
    </xf>
    <xf numFmtId="0" fontId="24" fillId="28" borderId="29" xfId="1" applyFill="1" applyBorder="1" applyAlignment="1">
      <alignment readingOrder="1"/>
    </xf>
    <xf numFmtId="0" fontId="25" fillId="28" borderId="29" xfId="0" applyFont="1" applyFill="1" applyBorder="1" applyAlignment="1">
      <alignment wrapText="1" readingOrder="1"/>
    </xf>
    <xf numFmtId="0" fontId="25" fillId="28" borderId="30" xfId="0" applyFont="1" applyFill="1" applyBorder="1" applyAlignment="1">
      <alignment readingOrder="1"/>
    </xf>
    <xf numFmtId="0" fontId="0" fillId="29" borderId="2" xfId="0" applyFill="1" applyBorder="1" applyAlignment="1">
      <alignment vertical="top" wrapText="1"/>
    </xf>
    <xf numFmtId="0" fontId="25" fillId="29" borderId="2" xfId="0" applyFont="1" applyFill="1" applyBorder="1" applyAlignment="1">
      <alignment vertical="top" wrapText="1" readingOrder="1"/>
    </xf>
    <xf numFmtId="0" fontId="19" fillId="30" borderId="2" xfId="0" applyFont="1" applyFill="1" applyBorder="1" applyAlignment="1">
      <alignment vertical="top" wrapText="1" readingOrder="1"/>
    </xf>
    <xf numFmtId="0" fontId="25" fillId="30" borderId="25" xfId="0" applyFont="1" applyFill="1" applyBorder="1" applyAlignment="1">
      <alignment readingOrder="1"/>
    </xf>
    <xf numFmtId="0" fontId="25" fillId="30" borderId="2" xfId="0" applyFont="1" applyFill="1" applyBorder="1" applyAlignment="1">
      <alignment readingOrder="1"/>
    </xf>
    <xf numFmtId="0" fontId="25" fillId="30" borderId="32" xfId="0" applyFont="1" applyFill="1" applyBorder="1" applyAlignment="1">
      <alignment readingOrder="1"/>
    </xf>
    <xf numFmtId="0" fontId="6" fillId="0" borderId="21" xfId="0" applyFont="1" applyBorder="1" applyAlignment="1">
      <alignment vertical="center"/>
    </xf>
    <xf numFmtId="22" fontId="0" fillId="19" borderId="2" xfId="0" applyNumberFormat="1" applyFill="1" applyBorder="1" applyAlignment="1">
      <alignment horizontal="right" wrapText="1"/>
    </xf>
    <xf numFmtId="22" fontId="6" fillId="0" borderId="2" xfId="0" applyNumberFormat="1" applyFont="1" applyBorder="1" applyAlignment="1">
      <alignment horizontal="right" wrapText="1"/>
    </xf>
    <xf numFmtId="22" fontId="6" fillId="18" borderId="2" xfId="0" applyNumberFormat="1" applyFont="1" applyFill="1" applyBorder="1" applyAlignment="1">
      <alignment horizontal="right" wrapText="1"/>
    </xf>
    <xf numFmtId="22" fontId="19" fillId="3" borderId="21" xfId="0" applyNumberFormat="1" applyFont="1" applyFill="1" applyBorder="1" applyAlignment="1">
      <alignment readingOrder="1"/>
    </xf>
    <xf numFmtId="0" fontId="0" fillId="19" borderId="2" xfId="0" applyFill="1" applyBorder="1" applyAlignment="1">
      <alignment wrapText="1"/>
    </xf>
    <xf numFmtId="0" fontId="6" fillId="18" borderId="2" xfId="0" applyFont="1" applyFill="1" applyBorder="1" applyAlignment="1">
      <alignment wrapText="1"/>
    </xf>
    <xf numFmtId="0" fontId="19" fillId="3" borderId="21" xfId="0" applyFont="1" applyFill="1" applyBorder="1" applyAlignment="1">
      <alignment readingOrder="1"/>
    </xf>
    <xf numFmtId="0" fontId="6" fillId="18" borderId="0" xfId="0" applyFont="1" applyFill="1" applyAlignment="1">
      <alignment wrapText="1"/>
    </xf>
    <xf numFmtId="0" fontId="6" fillId="3" borderId="0" xfId="0" applyFont="1" applyFill="1" applyAlignment="1">
      <alignment wrapText="1"/>
    </xf>
    <xf numFmtId="0" fontId="0" fillId="19" borderId="2" xfId="0" applyFill="1" applyBorder="1"/>
    <xf numFmtId="0" fontId="19" fillId="3" borderId="0" xfId="0" applyFont="1" applyFill="1" applyAlignment="1">
      <alignment readingOrder="1"/>
    </xf>
    <xf numFmtId="0" fontId="19" fillId="3" borderId="21" xfId="0" applyFont="1" applyFill="1" applyBorder="1"/>
    <xf numFmtId="0" fontId="0" fillId="18" borderId="2" xfId="0" applyFill="1" applyBorder="1"/>
    <xf numFmtId="0" fontId="0" fillId="18" borderId="21" xfId="0" applyFill="1" applyBorder="1"/>
    <xf numFmtId="0" fontId="0" fillId="18" borderId="22" xfId="0" applyFill="1" applyBorder="1"/>
    <xf numFmtId="0" fontId="23" fillId="12" borderId="2" xfId="0" applyFont="1" applyFill="1" applyBorder="1" applyAlignment="1">
      <alignment vertical="top" wrapText="1"/>
    </xf>
    <xf numFmtId="0" fontId="0" fillId="0" borderId="11" xfId="0" applyBorder="1" applyAlignment="1">
      <alignment vertical="top"/>
    </xf>
    <xf numFmtId="0" fontId="0" fillId="3" borderId="21" xfId="0" applyFill="1" applyBorder="1"/>
    <xf numFmtId="0" fontId="0" fillId="3" borderId="22" xfId="0" applyFill="1" applyBorder="1"/>
    <xf numFmtId="0" fontId="0" fillId="0" borderId="22" xfId="0" applyBorder="1"/>
    <xf numFmtId="0" fontId="0" fillId="18" borderId="0" xfId="0" applyFill="1" applyAlignment="1">
      <alignment vertical="top" wrapText="1"/>
    </xf>
    <xf numFmtId="0" fontId="0" fillId="3" borderId="0" xfId="0" applyFill="1" applyAlignment="1">
      <alignment vertical="top" wrapText="1"/>
    </xf>
    <xf numFmtId="0" fontId="23" fillId="0" borderId="2" xfId="0" applyFont="1" applyBorder="1" applyAlignment="1">
      <alignment vertical="top" wrapText="1"/>
    </xf>
    <xf numFmtId="0" fontId="28" fillId="0" borderId="2" xfId="0" applyFont="1" applyBorder="1" applyAlignment="1">
      <alignment vertical="top" wrapText="1"/>
    </xf>
    <xf numFmtId="0" fontId="0" fillId="21" borderId="2" xfId="0" applyFill="1" applyBorder="1" applyAlignment="1">
      <alignment vertical="top" wrapText="1"/>
    </xf>
    <xf numFmtId="0" fontId="19" fillId="21" borderId="2" xfId="0" applyFont="1" applyFill="1" applyBorder="1" applyAlignment="1">
      <alignment vertical="top" wrapText="1"/>
    </xf>
    <xf numFmtId="0" fontId="19" fillId="30" borderId="2" xfId="0" applyFont="1" applyFill="1" applyBorder="1" applyAlignment="1">
      <alignment vertical="top" wrapText="1"/>
    </xf>
    <xf numFmtId="0" fontId="25" fillId="21" borderId="2" xfId="0" applyFont="1" applyFill="1" applyBorder="1" applyAlignment="1">
      <alignment vertical="top" wrapText="1"/>
    </xf>
    <xf numFmtId="0" fontId="0" fillId="0" borderId="27" xfId="0" applyBorder="1" applyAlignment="1">
      <alignment wrapText="1"/>
    </xf>
    <xf numFmtId="0" fontId="0" fillId="0" borderId="1" xfId="0" applyBorder="1" applyAlignment="1">
      <alignment wrapText="1"/>
    </xf>
    <xf numFmtId="0" fontId="6" fillId="0" borderId="1" xfId="0" applyFont="1" applyBorder="1"/>
    <xf numFmtId="22" fontId="19" fillId="19" borderId="21" xfId="0" applyNumberFormat="1" applyFont="1" applyFill="1" applyBorder="1" applyAlignment="1">
      <alignment vertical="top" wrapText="1" readingOrder="1"/>
    </xf>
    <xf numFmtId="22" fontId="0" fillId="0" borderId="2" xfId="0" applyNumberFormat="1" applyBorder="1" applyAlignment="1">
      <alignment horizontal="right" wrapText="1"/>
    </xf>
    <xf numFmtId="22" fontId="19" fillId="18" borderId="21" xfId="0" applyNumberFormat="1" applyFont="1" applyFill="1" applyBorder="1" applyAlignment="1">
      <alignment vertical="top" wrapText="1" readingOrder="1"/>
    </xf>
    <xf numFmtId="0" fontId="19" fillId="19" borderId="21" xfId="0" applyFont="1" applyFill="1" applyBorder="1" applyAlignment="1">
      <alignment vertical="top" wrapText="1" readingOrder="1"/>
    </xf>
    <xf numFmtId="0" fontId="19" fillId="18" borderId="21" xfId="0" applyFont="1" applyFill="1" applyBorder="1" applyAlignment="1">
      <alignment vertical="top" wrapText="1" readingOrder="1"/>
    </xf>
    <xf numFmtId="0" fontId="0" fillId="19" borderId="21" xfId="0" applyFill="1" applyBorder="1"/>
    <xf numFmtId="0" fontId="0" fillId="0" borderId="21" xfId="0" applyBorder="1"/>
    <xf numFmtId="0" fontId="24" fillId="19" borderId="21" xfId="1" applyFill="1" applyBorder="1" applyAlignment="1">
      <alignment vertical="top" wrapText="1" readingOrder="1"/>
    </xf>
    <xf numFmtId="0" fontId="24" fillId="0" borderId="2" xfId="1" applyBorder="1" applyAlignment="1">
      <alignment wrapText="1"/>
    </xf>
    <xf numFmtId="0" fontId="6" fillId="0" borderId="2" xfId="0" applyFont="1" applyBorder="1" applyAlignment="1">
      <alignment vertical="center"/>
    </xf>
    <xf numFmtId="0" fontId="0" fillId="18" borderId="21" xfId="0" applyFill="1" applyBorder="1" applyAlignment="1">
      <alignment vertical="top"/>
    </xf>
    <xf numFmtId="0" fontId="0" fillId="3" borderId="21" xfId="0" applyFill="1" applyBorder="1" applyAlignment="1">
      <alignment vertical="top"/>
    </xf>
    <xf numFmtId="0" fontId="0" fillId="19" borderId="0" xfId="0" applyFill="1" applyAlignment="1">
      <alignment vertical="top"/>
    </xf>
    <xf numFmtId="0" fontId="6" fillId="0" borderId="11" xfId="0" applyFont="1" applyBorder="1" applyAlignment="1">
      <alignment wrapText="1"/>
    </xf>
    <xf numFmtId="0" fontId="0" fillId="18" borderId="22" xfId="0" applyFill="1" applyBorder="1" applyAlignment="1">
      <alignment vertical="top"/>
    </xf>
    <xf numFmtId="0" fontId="0" fillId="19" borderId="0" xfId="0" applyFill="1" applyAlignment="1">
      <alignment wrapText="1"/>
    </xf>
    <xf numFmtId="0" fontId="0" fillId="18" borderId="0" xfId="0" applyFill="1" applyAlignment="1">
      <alignment vertical="top"/>
    </xf>
    <xf numFmtId="0" fontId="25" fillId="19" borderId="0" xfId="0" applyFont="1" applyFill="1" applyAlignment="1">
      <alignment vertical="top" wrapText="1" readingOrder="1"/>
    </xf>
    <xf numFmtId="0" fontId="6" fillId="0" borderId="2" xfId="0" applyFont="1" applyBorder="1"/>
    <xf numFmtId="0" fontId="0" fillId="19" borderId="22" xfId="0" applyFill="1" applyBorder="1"/>
    <xf numFmtId="0" fontId="0" fillId="19" borderId="0" xfId="0" applyFill="1" applyAlignment="1">
      <alignment vertical="top" wrapText="1"/>
    </xf>
    <xf numFmtId="0" fontId="23" fillId="20" borderId="0" xfId="0" applyFont="1" applyFill="1" applyAlignment="1">
      <alignment vertical="top" wrapText="1"/>
    </xf>
    <xf numFmtId="0" fontId="23" fillId="12" borderId="23" xfId="0" applyFont="1" applyFill="1" applyBorder="1" applyAlignment="1">
      <alignment vertical="top" wrapText="1"/>
    </xf>
    <xf numFmtId="0" fontId="0" fillId="0" borderId="6" xfId="0" applyBorder="1"/>
    <xf numFmtId="0" fontId="0" fillId="0" borderId="11" xfId="0" applyBorder="1"/>
    <xf numFmtId="0" fontId="0" fillId="0" borderId="15" xfId="0" applyBorder="1"/>
    <xf numFmtId="0" fontId="0" fillId="0" borderId="15" xfId="0" applyBorder="1" applyAlignment="1">
      <alignment vertical="top"/>
    </xf>
    <xf numFmtId="0" fontId="23" fillId="0" borderId="23" xfId="0" applyFont="1" applyBorder="1" applyAlignment="1">
      <alignment vertical="top" wrapText="1"/>
    </xf>
    <xf numFmtId="0" fontId="25" fillId="0" borderId="20" xfId="0" applyFont="1" applyBorder="1" applyAlignment="1">
      <alignment vertical="top" wrapText="1"/>
    </xf>
    <xf numFmtId="0" fontId="6" fillId="19" borderId="0" xfId="0" applyFont="1" applyFill="1" applyAlignment="1">
      <alignment vertical="top"/>
    </xf>
    <xf numFmtId="0" fontId="19" fillId="19" borderId="0" xfId="0" applyFont="1" applyFill="1" applyAlignment="1">
      <alignment vertical="top" wrapText="1" readingOrder="1"/>
    </xf>
    <xf numFmtId="0" fontId="19" fillId="21" borderId="2" xfId="0" applyFont="1" applyFill="1" applyBorder="1" applyAlignment="1">
      <alignment vertical="top" wrapText="1" readingOrder="1"/>
    </xf>
    <xf numFmtId="0" fontId="19" fillId="21" borderId="25" xfId="0" applyFont="1" applyFill="1" applyBorder="1" applyAlignment="1">
      <alignment vertical="top" wrapText="1" readingOrder="1"/>
    </xf>
    <xf numFmtId="0" fontId="25" fillId="21" borderId="25" xfId="0" applyFont="1" applyFill="1" applyBorder="1" applyAlignment="1">
      <alignment readingOrder="1"/>
    </xf>
    <xf numFmtId="0" fontId="25" fillId="18" borderId="24" xfId="0" applyFont="1" applyFill="1" applyBorder="1" applyAlignment="1">
      <alignment readingOrder="1"/>
    </xf>
    <xf numFmtId="0" fontId="25" fillId="18" borderId="25" xfId="0" applyFont="1" applyFill="1" applyBorder="1" applyAlignment="1">
      <alignment readingOrder="1"/>
    </xf>
    <xf numFmtId="0" fontId="24" fillId="18" borderId="25" xfId="1" applyFill="1" applyBorder="1" applyAlignment="1">
      <alignment readingOrder="1"/>
    </xf>
    <xf numFmtId="0" fontId="25" fillId="18" borderId="26" xfId="0" applyFont="1" applyFill="1" applyBorder="1" applyAlignment="1">
      <alignment readingOrder="1"/>
    </xf>
    <xf numFmtId="0" fontId="5" fillId="27" borderId="1" xfId="0" applyFont="1" applyFill="1" applyBorder="1"/>
    <xf numFmtId="0" fontId="38" fillId="31" borderId="1" xfId="0" applyFont="1" applyFill="1" applyBorder="1" applyAlignment="1">
      <alignment horizontal="center" vertical="top" wrapText="1"/>
    </xf>
    <xf numFmtId="0" fontId="38" fillId="31" borderId="1" xfId="0" applyFont="1" applyFill="1" applyBorder="1" applyAlignment="1">
      <alignment vertical="top" wrapText="1"/>
    </xf>
    <xf numFmtId="0" fontId="5" fillId="31" borderId="1" xfId="0" applyFont="1" applyFill="1" applyBorder="1" applyAlignment="1">
      <alignment vertical="top" wrapText="1"/>
    </xf>
    <xf numFmtId="0" fontId="6"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15" fontId="0" fillId="0" borderId="1" xfId="0" applyNumberFormat="1" applyBorder="1" applyAlignment="1">
      <alignment vertical="top" wrapText="1"/>
    </xf>
    <xf numFmtId="164" fontId="6" fillId="0" borderId="1" xfId="0" applyNumberFormat="1" applyFont="1" applyBorder="1" applyAlignment="1">
      <alignment vertical="top" wrapText="1"/>
    </xf>
    <xf numFmtId="18" fontId="0" fillId="0" borderId="1" xfId="0" applyNumberFormat="1" applyBorder="1" applyAlignment="1">
      <alignment vertical="top" wrapText="1"/>
    </xf>
    <xf numFmtId="20" fontId="0" fillId="0" borderId="1" xfId="0" applyNumberFormat="1" applyBorder="1" applyAlignment="1">
      <alignment vertical="top" wrapText="1"/>
    </xf>
    <xf numFmtId="0" fontId="36" fillId="0" borderId="1" xfId="0" applyFont="1" applyBorder="1" applyAlignment="1">
      <alignment vertical="top" wrapText="1"/>
    </xf>
    <xf numFmtId="0" fontId="38" fillId="27" borderId="1" xfId="0" applyFont="1" applyFill="1" applyBorder="1" applyAlignment="1">
      <alignment vertical="top" wrapText="1"/>
    </xf>
    <xf numFmtId="0" fontId="38" fillId="19" borderId="1" xfId="0" applyFont="1" applyFill="1" applyBorder="1" applyAlignment="1">
      <alignment vertical="top" wrapText="1"/>
    </xf>
    <xf numFmtId="0" fontId="0" fillId="0" borderId="2" xfId="0" applyBorder="1" applyAlignment="1">
      <alignment horizontal="center" vertical="top" wrapText="1"/>
    </xf>
    <xf numFmtId="0" fontId="0" fillId="0" borderId="1" xfId="0" applyBorder="1" applyAlignment="1">
      <alignment vertical="top"/>
    </xf>
    <xf numFmtId="0" fontId="39" fillId="0" borderId="1" xfId="0" applyFont="1" applyBorder="1" applyAlignment="1">
      <alignment horizontal="center" vertical="top" wrapText="1"/>
    </xf>
    <xf numFmtId="0" fontId="40" fillId="0" borderId="1" xfId="0" applyFont="1" applyBorder="1" applyAlignment="1">
      <alignment horizontal="left" vertical="top" wrapText="1"/>
    </xf>
    <xf numFmtId="0" fontId="40" fillId="0" borderId="1" xfId="0" applyFont="1" applyBorder="1" applyAlignment="1">
      <alignment horizontal="center" vertical="top" wrapText="1"/>
    </xf>
    <xf numFmtId="0" fontId="41" fillId="0" borderId="1" xfId="0" applyFont="1" applyBorder="1" applyAlignment="1">
      <alignment horizontal="left" vertical="top" wrapText="1"/>
    </xf>
    <xf numFmtId="0" fontId="41" fillId="0" borderId="1" xfId="0" applyFont="1" applyBorder="1" applyAlignment="1">
      <alignment horizontal="center" vertical="top" wrapText="1"/>
    </xf>
    <xf numFmtId="0" fontId="24" fillId="0" borderId="1" xfId="1" applyBorder="1" applyAlignment="1">
      <alignment horizontal="center" vertical="top" wrapText="1"/>
    </xf>
    <xf numFmtId="0" fontId="43" fillId="0" borderId="1" xfId="0" applyFont="1" applyBorder="1" applyAlignment="1">
      <alignment vertical="top" wrapText="1"/>
    </xf>
    <xf numFmtId="0" fontId="43" fillId="0" borderId="1" xfId="0" applyFont="1" applyBorder="1" applyAlignment="1">
      <alignment horizontal="left" vertical="top" wrapText="1"/>
    </xf>
    <xf numFmtId="0" fontId="44" fillId="32" borderId="1" xfId="0" applyFont="1" applyFill="1" applyBorder="1" applyAlignment="1">
      <alignment horizontal="left" vertical="top" wrapText="1"/>
    </xf>
    <xf numFmtId="0" fontId="24" fillId="12" borderId="0" xfId="1" applyFill="1" applyAlignment="1">
      <alignment vertical="top" wrapText="1"/>
    </xf>
    <xf numFmtId="0" fontId="46" fillId="12" borderId="23" xfId="0" applyFont="1" applyFill="1" applyBorder="1" applyAlignment="1">
      <alignment vertical="top" wrapText="1"/>
    </xf>
    <xf numFmtId="0" fontId="24" fillId="12" borderId="35" xfId="1" applyFill="1" applyBorder="1" applyAlignment="1">
      <alignment vertical="top" wrapText="1"/>
    </xf>
    <xf numFmtId="0" fontId="23" fillId="34" borderId="2" xfId="0" applyFont="1" applyFill="1" applyBorder="1" applyAlignment="1">
      <alignment vertical="top" wrapText="1"/>
    </xf>
    <xf numFmtId="0" fontId="16" fillId="12" borderId="14" xfId="0" applyFont="1" applyFill="1" applyBorder="1" applyAlignment="1">
      <alignment vertical="top" wrapText="1" readingOrder="1"/>
    </xf>
    <xf numFmtId="0" fontId="27" fillId="12" borderId="2" xfId="0" applyFont="1" applyFill="1" applyBorder="1" applyAlignment="1">
      <alignment vertical="top" wrapText="1" readingOrder="1"/>
    </xf>
    <xf numFmtId="0" fontId="24" fillId="12" borderId="2" xfId="1" applyFill="1" applyBorder="1" applyAlignment="1">
      <alignment vertical="top" wrapText="1" readingOrder="1"/>
    </xf>
    <xf numFmtId="0" fontId="27" fillId="12" borderId="14" xfId="0" applyFont="1" applyFill="1" applyBorder="1" applyAlignment="1">
      <alignment vertical="top" wrapText="1" readingOrder="1"/>
    </xf>
    <xf numFmtId="0" fontId="27" fillId="12" borderId="36" xfId="0" applyFont="1" applyFill="1" applyBorder="1" applyAlignment="1">
      <alignment vertical="top" wrapText="1" readingOrder="1"/>
    </xf>
    <xf numFmtId="0" fontId="27" fillId="12" borderId="27" xfId="0" applyFont="1" applyFill="1" applyBorder="1" applyAlignment="1">
      <alignment vertical="top" wrapText="1" readingOrder="1"/>
    </xf>
    <xf numFmtId="0" fontId="16" fillId="12" borderId="2" xfId="0" applyFont="1" applyFill="1" applyBorder="1" applyAlignment="1">
      <alignment vertical="top" wrapText="1"/>
    </xf>
    <xf numFmtId="0" fontId="45" fillId="12" borderId="0" xfId="0" applyFont="1" applyFill="1" applyAlignment="1">
      <alignment vertical="top" wrapText="1"/>
    </xf>
    <xf numFmtId="0" fontId="23" fillId="12" borderId="23" xfId="0" applyFont="1" applyFill="1" applyBorder="1" applyAlignment="1">
      <alignment horizontal="center" vertical="top" wrapText="1"/>
    </xf>
    <xf numFmtId="0" fontId="23" fillId="12" borderId="2" xfId="0" applyFont="1" applyFill="1" applyBorder="1" applyAlignment="1">
      <alignment horizontal="center" vertical="top" wrapText="1"/>
    </xf>
    <xf numFmtId="0" fontId="23" fillId="33" borderId="2" xfId="0" applyFont="1" applyFill="1" applyBorder="1" applyAlignment="1">
      <alignment vertical="top" wrapText="1"/>
    </xf>
    <xf numFmtId="0" fontId="48" fillId="0" borderId="0" xfId="0" applyFont="1" applyAlignment="1">
      <alignment vertical="top" wrapText="1"/>
    </xf>
    <xf numFmtId="0" fontId="49" fillId="0" borderId="2" xfId="0" applyFont="1" applyBorder="1" applyAlignment="1">
      <alignment vertical="top" wrapText="1"/>
    </xf>
    <xf numFmtId="0" fontId="50" fillId="0" borderId="2" xfId="0" applyFont="1" applyBorder="1" applyAlignment="1">
      <alignment vertical="top" wrapText="1"/>
    </xf>
    <xf numFmtId="0" fontId="48" fillId="0" borderId="2" xfId="0" applyFont="1" applyBorder="1" applyAlignment="1">
      <alignment vertical="top" wrapText="1"/>
    </xf>
    <xf numFmtId="0" fontId="49" fillId="35" borderId="2" xfId="0" applyFont="1" applyFill="1" applyBorder="1" applyAlignment="1">
      <alignment vertical="top" wrapText="1"/>
    </xf>
    <xf numFmtId="0" fontId="48" fillId="34" borderId="2" xfId="0" applyFont="1" applyFill="1" applyBorder="1" applyAlignment="1">
      <alignment vertical="top" wrapText="1"/>
    </xf>
    <xf numFmtId="0" fontId="48" fillId="33" borderId="2" xfId="0" applyFont="1" applyFill="1" applyBorder="1" applyAlignment="1">
      <alignment vertical="top" wrapText="1"/>
    </xf>
    <xf numFmtId="0" fontId="48" fillId="36" borderId="2" xfId="0" applyFont="1" applyFill="1" applyBorder="1" applyAlignment="1">
      <alignment vertical="top" wrapText="1"/>
    </xf>
    <xf numFmtId="0" fontId="48" fillId="0" borderId="14" xfId="0" applyFont="1" applyBorder="1" applyAlignment="1">
      <alignment vertical="top" wrapText="1"/>
    </xf>
    <xf numFmtId="0" fontId="23" fillId="12" borderId="27" xfId="0" applyFont="1" applyFill="1" applyBorder="1" applyAlignment="1">
      <alignment horizontal="center" vertical="top" wrapText="1"/>
    </xf>
    <xf numFmtId="0" fontId="48" fillId="0" borderId="27" xfId="0" applyFont="1" applyBorder="1" applyAlignment="1">
      <alignment vertical="top" wrapText="1"/>
    </xf>
    <xf numFmtId="0" fontId="48" fillId="33" borderId="27" xfId="0" applyFont="1" applyFill="1" applyBorder="1" applyAlignment="1">
      <alignment vertical="top" wrapText="1"/>
    </xf>
    <xf numFmtId="0" fontId="8" fillId="12" borderId="0" xfId="0" applyFont="1" applyFill="1" applyAlignment="1">
      <alignment vertical="top" wrapText="1"/>
    </xf>
    <xf numFmtId="0" fontId="24" fillId="12" borderId="2" xfId="1" applyFill="1" applyBorder="1" applyAlignment="1">
      <alignment vertical="top" wrapText="1"/>
    </xf>
    <xf numFmtId="0" fontId="16" fillId="33" borderId="2" xfId="0" applyFont="1" applyFill="1" applyBorder="1" applyAlignment="1">
      <alignment vertical="top" wrapText="1"/>
    </xf>
    <xf numFmtId="0" fontId="51" fillId="0" borderId="0" xfId="0" applyFont="1" applyAlignment="1">
      <alignment vertical="top" wrapText="1"/>
    </xf>
    <xf numFmtId="0" fontId="52" fillId="37" borderId="1" xfId="0" applyFont="1" applyFill="1" applyBorder="1" applyAlignment="1">
      <alignment vertical="top" wrapText="1"/>
    </xf>
    <xf numFmtId="0" fontId="52" fillId="37" borderId="6" xfId="0" applyFont="1" applyFill="1" applyBorder="1" applyAlignment="1">
      <alignment vertical="top" wrapText="1"/>
    </xf>
    <xf numFmtId="0" fontId="52" fillId="38" borderId="2" xfId="0" applyFont="1" applyFill="1" applyBorder="1" applyAlignment="1">
      <alignment vertical="top" wrapText="1"/>
    </xf>
    <xf numFmtId="0" fontId="49" fillId="38" borderId="2" xfId="0" applyFont="1" applyFill="1" applyBorder="1" applyAlignment="1">
      <alignment vertical="top" wrapText="1"/>
    </xf>
    <xf numFmtId="0" fontId="48" fillId="0" borderId="10" xfId="0" applyFont="1" applyBorder="1" applyAlignment="1">
      <alignment vertical="top" wrapText="1"/>
    </xf>
    <xf numFmtId="0" fontId="48" fillId="0" borderId="11" xfId="0" applyFont="1" applyBorder="1" applyAlignment="1">
      <alignment vertical="top" wrapText="1"/>
    </xf>
    <xf numFmtId="0" fontId="53" fillId="0" borderId="11" xfId="0" applyFont="1" applyBorder="1" applyAlignment="1">
      <alignment vertical="top" wrapText="1"/>
    </xf>
    <xf numFmtId="0" fontId="54" fillId="0" borderId="0" xfId="0" applyFont="1" applyAlignment="1">
      <alignment vertical="top" wrapText="1"/>
    </xf>
    <xf numFmtId="0" fontId="52" fillId="37" borderId="34" xfId="0" applyFont="1" applyFill="1" applyBorder="1" applyAlignment="1">
      <alignment vertical="top" wrapText="1"/>
    </xf>
    <xf numFmtId="0" fontId="55" fillId="0" borderId="37" xfId="0" applyFont="1" applyBorder="1" applyAlignment="1">
      <alignment vertical="top" wrapText="1"/>
    </xf>
    <xf numFmtId="0" fontId="23" fillId="12" borderId="37" xfId="0" applyFont="1" applyFill="1" applyBorder="1" applyAlignment="1">
      <alignment vertical="top" wrapText="1"/>
    </xf>
    <xf numFmtId="0" fontId="23" fillId="33" borderId="0" xfId="0" applyFont="1" applyFill="1" applyAlignment="1">
      <alignment vertical="top" wrapText="1"/>
    </xf>
    <xf numFmtId="0" fontId="55" fillId="0" borderId="2" xfId="0" applyFont="1" applyBorder="1" applyAlignment="1">
      <alignment vertical="top" wrapText="1"/>
    </xf>
    <xf numFmtId="0" fontId="56" fillId="0" borderId="0" xfId="0" applyFont="1" applyAlignment="1">
      <alignment vertical="top" wrapText="1"/>
    </xf>
    <xf numFmtId="0" fontId="32" fillId="0" borderId="1" xfId="0" applyFont="1" applyBorder="1" applyAlignment="1">
      <alignment vertical="top"/>
    </xf>
    <xf numFmtId="14" fontId="0" fillId="0" borderId="1" xfId="0" applyNumberFormat="1" applyBorder="1" applyAlignment="1">
      <alignment vertical="top"/>
    </xf>
    <xf numFmtId="14" fontId="32" fillId="0" borderId="1" xfId="0" applyNumberFormat="1" applyFont="1" applyBorder="1" applyAlignment="1">
      <alignment vertical="top"/>
    </xf>
    <xf numFmtId="0" fontId="32" fillId="21" borderId="1" xfId="0" applyFont="1" applyFill="1" applyBorder="1" applyAlignment="1">
      <alignment vertical="top"/>
    </xf>
    <xf numFmtId="0" fontId="35" fillId="0" borderId="1" xfId="0" applyFont="1" applyBorder="1" applyAlignment="1">
      <alignment vertical="top"/>
    </xf>
    <xf numFmtId="0" fontId="32" fillId="3" borderId="1" xfId="0" applyFont="1" applyFill="1" applyBorder="1" applyAlignment="1">
      <alignment vertical="top"/>
    </xf>
    <xf numFmtId="14" fontId="35" fillId="0" borderId="1" xfId="0" applyNumberFormat="1" applyFont="1" applyBorder="1" applyAlignment="1">
      <alignment vertical="top"/>
    </xf>
    <xf numFmtId="0" fontId="0" fillId="3" borderId="1" xfId="0" applyFill="1" applyBorder="1" applyAlignment="1">
      <alignment vertical="top"/>
    </xf>
    <xf numFmtId="0" fontId="6" fillId="0" borderId="1" xfId="0" applyFont="1" applyBorder="1" applyAlignment="1">
      <alignment vertical="top"/>
    </xf>
    <xf numFmtId="0" fontId="6" fillId="0" borderId="38" xfId="0" applyFont="1" applyBorder="1" applyAlignment="1">
      <alignment wrapText="1"/>
    </xf>
    <xf numFmtId="0" fontId="6" fillId="19" borderId="38" xfId="0" applyFont="1" applyFill="1" applyBorder="1" applyAlignment="1">
      <alignment wrapText="1"/>
    </xf>
    <xf numFmtId="0" fontId="6" fillId="0" borderId="22" xfId="0" applyFont="1" applyBorder="1" applyAlignment="1">
      <alignment wrapText="1"/>
    </xf>
    <xf numFmtId="0" fontId="3" fillId="3" borderId="1" xfId="0" applyFont="1" applyFill="1" applyBorder="1" applyAlignment="1">
      <alignment horizontal="left" wrapText="1"/>
    </xf>
    <xf numFmtId="0" fontId="32" fillId="0" borderId="1" xfId="0" applyFont="1" applyBorder="1" applyAlignment="1">
      <alignment vertical="top" wrapText="1"/>
    </xf>
    <xf numFmtId="0" fontId="35" fillId="0" borderId="1" xfId="0" applyFont="1" applyBorder="1" applyAlignment="1">
      <alignment vertical="top" wrapText="1"/>
    </xf>
    <xf numFmtId="0" fontId="6" fillId="0" borderId="2" xfId="0" applyFont="1" applyBorder="1" applyAlignment="1">
      <alignment vertical="top" wrapText="1"/>
    </xf>
    <xf numFmtId="0" fontId="44" fillId="21" borderId="1" xfId="0" applyFont="1" applyFill="1" applyBorder="1" applyAlignment="1">
      <alignment horizontal="left" vertical="top" wrapText="1"/>
    </xf>
    <xf numFmtId="0" fontId="43" fillId="21" borderId="1" xfId="0" applyFont="1" applyFill="1" applyBorder="1" applyAlignment="1">
      <alignment vertical="top" wrapText="1"/>
    </xf>
    <xf numFmtId="0" fontId="41" fillId="21" borderId="1" xfId="0" applyFont="1" applyFill="1" applyBorder="1" applyAlignment="1">
      <alignment horizontal="left" vertical="top" wrapText="1"/>
    </xf>
    <xf numFmtId="0" fontId="40" fillId="21" borderId="1" xfId="0" applyFont="1" applyFill="1" applyBorder="1" applyAlignment="1">
      <alignment horizontal="left" vertical="top" wrapText="1"/>
    </xf>
    <xf numFmtId="0" fontId="6" fillId="0" borderId="21" xfId="0" applyFont="1" applyBorder="1" applyAlignment="1">
      <alignment vertical="top" wrapText="1"/>
    </xf>
    <xf numFmtId="22" fontId="6" fillId="19" borderId="21" xfId="0" applyNumberFormat="1" applyFont="1" applyFill="1" applyBorder="1" applyAlignment="1">
      <alignment horizontal="right" wrapText="1"/>
    </xf>
    <xf numFmtId="0" fontId="6" fillId="19" borderId="21" xfId="0" applyFont="1" applyFill="1" applyBorder="1" applyAlignment="1">
      <alignment wrapText="1"/>
    </xf>
    <xf numFmtId="0" fontId="6" fillId="19" borderId="21" xfId="0" applyFont="1" applyFill="1" applyBorder="1" applyAlignment="1">
      <alignment vertical="center"/>
    </xf>
    <xf numFmtId="0" fontId="6" fillId="18" borderId="21" xfId="0" applyFont="1" applyFill="1" applyBorder="1" applyAlignment="1">
      <alignment vertical="center"/>
    </xf>
    <xf numFmtId="0" fontId="43" fillId="21" borderId="1" xfId="0" applyFont="1" applyFill="1" applyBorder="1" applyAlignment="1">
      <alignment horizontal="left" vertical="top" wrapText="1"/>
    </xf>
    <xf numFmtId="0" fontId="19" fillId="0" borderId="24" xfId="0" applyFont="1" applyBorder="1" applyAlignment="1">
      <alignment vertical="top" readingOrder="1"/>
    </xf>
    <xf numFmtId="0" fontId="19" fillId="0" borderId="25" xfId="0" applyFont="1" applyBorder="1" applyAlignment="1">
      <alignment vertical="top" readingOrder="1"/>
    </xf>
    <xf numFmtId="0" fontId="24" fillId="0" borderId="25" xfId="1" applyBorder="1" applyAlignment="1">
      <alignment vertical="top" readingOrder="1"/>
    </xf>
    <xf numFmtId="0" fontId="19" fillId="0" borderId="26" xfId="0" applyFont="1" applyBorder="1" applyAlignment="1">
      <alignment vertical="top" readingOrder="1"/>
    </xf>
    <xf numFmtId="49" fontId="6" fillId="0" borderId="0" xfId="0" applyNumberFormat="1" applyFont="1"/>
    <xf numFmtId="49" fontId="6" fillId="0" borderId="0" xfId="2" applyNumberFormat="1" applyFont="1" applyAlignment="1"/>
    <xf numFmtId="0" fontId="43" fillId="17" borderId="1" xfId="0" applyFont="1" applyFill="1" applyBorder="1" applyAlignment="1">
      <alignment horizontal="left" vertical="top" wrapText="1"/>
    </xf>
    <xf numFmtId="0" fontId="0" fillId="0" borderId="10" xfId="0" applyBorder="1" applyAlignment="1">
      <alignment vertical="top" wrapText="1"/>
    </xf>
    <xf numFmtId="0" fontId="40" fillId="0" borderId="10" xfId="0" applyFont="1" applyBorder="1" applyAlignment="1">
      <alignment horizontal="left" vertical="top" wrapText="1"/>
    </xf>
    <xf numFmtId="0" fontId="40" fillId="0" borderId="10" xfId="0" applyFont="1" applyBorder="1" applyAlignment="1">
      <alignment horizontal="center" vertical="top" wrapText="1"/>
    </xf>
    <xf numFmtId="0" fontId="24" fillId="0" borderId="10" xfId="1" applyBorder="1" applyAlignment="1">
      <alignment horizontal="center" vertical="top" wrapText="1"/>
    </xf>
    <xf numFmtId="0" fontId="43" fillId="0" borderId="10" xfId="0" applyFont="1" applyBorder="1" applyAlignment="1">
      <alignment vertical="top" wrapText="1"/>
    </xf>
    <xf numFmtId="0" fontId="43" fillId="0" borderId="10" xfId="0" applyFont="1" applyBorder="1" applyAlignment="1">
      <alignment horizontal="left" vertical="top" wrapText="1"/>
    </xf>
    <xf numFmtId="0" fontId="43" fillId="0" borderId="10" xfId="0" applyFont="1" applyBorder="1" applyAlignment="1">
      <alignment horizontal="center" vertical="top" wrapText="1"/>
    </xf>
    <xf numFmtId="0" fontId="44" fillId="32" borderId="10" xfId="0" applyFont="1" applyFill="1" applyBorder="1" applyAlignment="1">
      <alignment horizontal="left" vertical="top" wrapText="1"/>
    </xf>
    <xf numFmtId="0" fontId="0" fillId="0" borderId="9" xfId="0" applyBorder="1" applyAlignment="1">
      <alignment vertical="top" wrapText="1"/>
    </xf>
    <xf numFmtId="0" fontId="40" fillId="0" borderId="9" xfId="0" applyFont="1" applyBorder="1" applyAlignment="1">
      <alignment horizontal="left" vertical="top" wrapText="1"/>
    </xf>
    <xf numFmtId="0" fontId="40" fillId="0" borderId="9" xfId="0" applyFont="1" applyBorder="1" applyAlignment="1">
      <alignment horizontal="center" vertical="top" wrapText="1"/>
    </xf>
    <xf numFmtId="0" fontId="24" fillId="0" borderId="9" xfId="1" applyBorder="1" applyAlignment="1">
      <alignment horizontal="center" vertical="top" wrapText="1"/>
    </xf>
    <xf numFmtId="0" fontId="41" fillId="0" borderId="9" xfId="0" applyFont="1" applyBorder="1" applyAlignment="1">
      <alignment horizontal="left" vertical="top" wrapText="1"/>
    </xf>
    <xf numFmtId="0" fontId="41" fillId="0" borderId="9" xfId="0" applyFont="1" applyBorder="1" applyAlignment="1">
      <alignment horizontal="center" vertical="top" wrapText="1"/>
    </xf>
    <xf numFmtId="0" fontId="42" fillId="0" borderId="9" xfId="1" applyFont="1" applyBorder="1" applyAlignment="1">
      <alignment horizontal="center" vertical="top" wrapText="1"/>
    </xf>
    <xf numFmtId="0" fontId="43" fillId="0" borderId="9" xfId="0" applyFont="1" applyBorder="1" applyAlignment="1">
      <alignment vertical="top" wrapText="1"/>
    </xf>
    <xf numFmtId="0" fontId="43" fillId="0" borderId="9" xfId="0" applyFont="1" applyBorder="1" applyAlignment="1">
      <alignment horizontal="left" vertical="top" wrapText="1"/>
    </xf>
    <xf numFmtId="0" fontId="44" fillId="32" borderId="9" xfId="0" applyFont="1" applyFill="1" applyBorder="1" applyAlignment="1">
      <alignment horizontal="left" vertical="top" wrapText="1"/>
    </xf>
    <xf numFmtId="0" fontId="0" fillId="0" borderId="8" xfId="0" applyBorder="1" applyAlignment="1">
      <alignment vertical="top" wrapText="1"/>
    </xf>
    <xf numFmtId="0" fontId="43" fillId="0" borderId="8" xfId="0" applyFont="1" applyBorder="1" applyAlignment="1">
      <alignment vertical="top" wrapText="1"/>
    </xf>
    <xf numFmtId="0" fontId="43" fillId="0" borderId="8" xfId="0" applyFont="1" applyBorder="1" applyAlignment="1">
      <alignment horizontal="left" vertical="top" wrapText="1"/>
    </xf>
    <xf numFmtId="0" fontId="44" fillId="32" borderId="8" xfId="0" applyFont="1" applyFill="1" applyBorder="1" applyAlignment="1">
      <alignment horizontal="left" vertical="top" wrapText="1"/>
    </xf>
    <xf numFmtId="0" fontId="59" fillId="32" borderId="1" xfId="0" applyFont="1" applyFill="1" applyBorder="1" applyAlignment="1">
      <alignment horizontal="center" vertical="center" wrapText="1"/>
    </xf>
    <xf numFmtId="0" fontId="60" fillId="32" borderId="1" xfId="0" applyFont="1" applyFill="1" applyBorder="1" applyAlignment="1">
      <alignment vertical="center" wrapText="1"/>
    </xf>
    <xf numFmtId="0" fontId="59" fillId="32" borderId="1" xfId="0" applyFont="1" applyFill="1" applyBorder="1" applyAlignment="1">
      <alignment vertical="center" wrapText="1"/>
    </xf>
    <xf numFmtId="0" fontId="59" fillId="32" borderId="1" xfId="0" applyFont="1" applyFill="1" applyBorder="1" applyAlignment="1">
      <alignment horizontal="left" vertical="center" wrapText="1"/>
    </xf>
    <xf numFmtId="0" fontId="61" fillId="0" borderId="1" xfId="0" applyFont="1" applyBorder="1" applyAlignment="1">
      <alignment horizontal="center" vertical="center" wrapText="1"/>
    </xf>
    <xf numFmtId="0" fontId="62" fillId="0" borderId="1" xfId="0" applyFont="1" applyBorder="1" applyAlignment="1">
      <alignment vertical="center" wrapText="1"/>
    </xf>
    <xf numFmtId="0" fontId="61" fillId="0" borderId="1" xfId="0" applyFont="1" applyBorder="1" applyAlignment="1">
      <alignment vertical="center" wrapText="1"/>
    </xf>
    <xf numFmtId="0" fontId="61" fillId="0" borderId="1" xfId="0" applyFont="1" applyBorder="1" applyAlignment="1">
      <alignment horizontal="left" vertical="center" wrapText="1"/>
    </xf>
    <xf numFmtId="0" fontId="61" fillId="21" borderId="1" xfId="0" applyFont="1" applyFill="1" applyBorder="1" applyAlignment="1">
      <alignment vertical="center" wrapText="1"/>
    </xf>
    <xf numFmtId="0" fontId="0" fillId="3" borderId="1" xfId="0" applyFill="1" applyBorder="1" applyAlignment="1">
      <alignment wrapText="1"/>
    </xf>
    <xf numFmtId="0" fontId="43" fillId="21" borderId="8" xfId="0" applyFont="1" applyFill="1" applyBorder="1" applyAlignment="1">
      <alignment vertical="top" wrapText="1"/>
    </xf>
    <xf numFmtId="0" fontId="48" fillId="21" borderId="2" xfId="0" applyFont="1" applyFill="1" applyBorder="1" applyAlignment="1">
      <alignment vertical="top" wrapText="1"/>
    </xf>
    <xf numFmtId="0" fontId="19" fillId="0" borderId="1" xfId="0" applyFont="1" applyBorder="1" applyAlignment="1">
      <alignment vertical="top" wrapText="1"/>
    </xf>
    <xf numFmtId="0" fontId="25" fillId="0" borderId="1" xfId="0" applyFont="1" applyBorder="1" applyAlignment="1">
      <alignment vertical="top" wrapText="1"/>
    </xf>
    <xf numFmtId="0" fontId="0" fillId="4" borderId="1" xfId="0" applyFill="1" applyBorder="1" applyAlignment="1">
      <alignment vertical="top" wrapText="1"/>
    </xf>
    <xf numFmtId="0" fontId="64" fillId="0" borderId="0" xfId="0" applyFont="1" applyAlignment="1">
      <alignment vertical="top"/>
    </xf>
    <xf numFmtId="11" fontId="64" fillId="0" borderId="0" xfId="0" applyNumberFormat="1" applyFont="1" applyAlignment="1">
      <alignment vertical="top"/>
    </xf>
    <xf numFmtId="20" fontId="64" fillId="0" borderId="0" xfId="0" applyNumberFormat="1" applyFont="1" applyAlignment="1">
      <alignment vertical="top"/>
    </xf>
    <xf numFmtId="0" fontId="0" fillId="4" borderId="8" xfId="0" applyFill="1" applyBorder="1" applyAlignment="1">
      <alignment vertical="top" wrapText="1"/>
    </xf>
    <xf numFmtId="15" fontId="0" fillId="0" borderId="1" xfId="0" applyNumberFormat="1" applyBorder="1" applyAlignment="1">
      <alignment vertical="top"/>
    </xf>
    <xf numFmtId="15" fontId="32" fillId="0" borderId="1" xfId="0" applyNumberFormat="1" applyFont="1" applyBorder="1" applyAlignment="1">
      <alignment vertical="top"/>
    </xf>
    <xf numFmtId="0" fontId="43" fillId="23" borderId="9" xfId="0" applyFont="1" applyFill="1" applyBorder="1" applyAlignment="1">
      <alignment vertical="top" wrapText="1"/>
    </xf>
    <xf numFmtId="0" fontId="43" fillId="23" borderId="9" xfId="0" applyFont="1" applyFill="1" applyBorder="1" applyAlignment="1">
      <alignment horizontal="left" vertical="top" wrapText="1"/>
    </xf>
    <xf numFmtId="0" fontId="43" fillId="23" borderId="1" xfId="0" applyFont="1" applyFill="1" applyBorder="1" applyAlignment="1">
      <alignment vertical="top" wrapText="1"/>
    </xf>
    <xf numFmtId="0" fontId="19" fillId="0" borderId="1" xfId="0" applyFont="1" applyBorder="1" applyAlignment="1">
      <alignment vertical="top" wrapText="1" readingOrder="1"/>
    </xf>
    <xf numFmtId="0" fontId="25" fillId="0" borderId="1" xfId="0" applyFont="1" applyBorder="1" applyAlignment="1">
      <alignment vertical="top" wrapText="1" readingOrder="1"/>
    </xf>
    <xf numFmtId="0" fontId="0" fillId="0" borderId="0" xfId="0" applyAlignment="1">
      <alignment wrapText="1"/>
    </xf>
    <xf numFmtId="0" fontId="35" fillId="21" borderId="1" xfId="0" applyFont="1" applyFill="1" applyBorder="1" applyAlignment="1">
      <alignment vertical="top"/>
    </xf>
    <xf numFmtId="0" fontId="24" fillId="0" borderId="2" xfId="1" applyBorder="1" applyAlignment="1">
      <alignment vertical="top" wrapText="1"/>
    </xf>
    <xf numFmtId="0" fontId="32" fillId="17" borderId="1" xfId="0" applyFont="1" applyFill="1" applyBorder="1" applyAlignment="1">
      <alignment vertical="top"/>
    </xf>
    <xf numFmtId="0" fontId="25" fillId="18" borderId="21" xfId="0" applyFont="1" applyFill="1" applyBorder="1" applyAlignment="1">
      <alignment vertical="top" wrapText="1" readingOrder="1"/>
    </xf>
    <xf numFmtId="0" fontId="4" fillId="3" borderId="0" xfId="0" applyFont="1" applyFill="1" applyAlignment="1">
      <alignment vertical="top" wrapText="1"/>
    </xf>
    <xf numFmtId="0" fontId="43" fillId="21" borderId="10" xfId="0" applyFont="1" applyFill="1" applyBorder="1" applyAlignment="1">
      <alignment horizontal="left" vertical="top" wrapText="1"/>
    </xf>
    <xf numFmtId="0" fontId="6" fillId="0" borderId="0" xfId="0" applyFont="1" applyAlignment="1">
      <alignment vertical="top" wrapText="1"/>
    </xf>
    <xf numFmtId="14" fontId="32" fillId="43" borderId="1" xfId="0" applyNumberFormat="1" applyFont="1" applyFill="1" applyBorder="1" applyAlignment="1">
      <alignment vertical="top"/>
    </xf>
    <xf numFmtId="15" fontId="32" fillId="0" borderId="1" xfId="0" applyNumberFormat="1" applyFont="1" applyBorder="1" applyAlignment="1">
      <alignment vertical="top" wrapText="1"/>
    </xf>
    <xf numFmtId="0" fontId="65" fillId="0" borderId="5" xfId="0" applyFont="1" applyBorder="1" applyAlignment="1">
      <alignment vertical="top" wrapText="1"/>
    </xf>
    <xf numFmtId="0" fontId="65" fillId="0" borderId="6" xfId="0" applyFont="1" applyBorder="1" applyAlignment="1">
      <alignment vertical="top" wrapText="1"/>
    </xf>
    <xf numFmtId="1" fontId="16" fillId="0" borderId="1" xfId="0" applyNumberFormat="1" applyFont="1" applyBorder="1" applyAlignment="1">
      <alignment horizontal="center" vertical="top" shrinkToFit="1"/>
    </xf>
    <xf numFmtId="0" fontId="66" fillId="44" borderId="1" xfId="0" applyFont="1" applyFill="1" applyBorder="1" applyAlignment="1">
      <alignment horizontal="center" vertical="top" wrapText="1"/>
    </xf>
    <xf numFmtId="0" fontId="58" fillId="45" borderId="1" xfId="0" applyFont="1" applyFill="1" applyBorder="1" applyAlignment="1">
      <alignment horizontal="left" wrapText="1"/>
    </xf>
    <xf numFmtId="0" fontId="58" fillId="0" borderId="1" xfId="0" applyFont="1" applyBorder="1" applyAlignment="1">
      <alignment horizontal="left" wrapText="1"/>
    </xf>
    <xf numFmtId="0" fontId="58" fillId="0" borderId="1" xfId="0" applyFont="1" applyBorder="1" applyAlignment="1">
      <alignment horizontal="left" vertical="center" wrapText="1"/>
    </xf>
    <xf numFmtId="4" fontId="16" fillId="0" borderId="1" xfId="0" applyNumberFormat="1" applyFont="1" applyBorder="1" applyAlignment="1">
      <alignment horizontal="right" vertical="top" shrinkToFit="1"/>
    </xf>
    <xf numFmtId="2" fontId="16" fillId="0" borderId="1" xfId="0" applyNumberFormat="1" applyFont="1" applyBorder="1" applyAlignment="1">
      <alignment horizontal="right" vertical="top" shrinkToFit="1"/>
    </xf>
    <xf numFmtId="18" fontId="32" fillId="0" borderId="1" xfId="0" applyNumberFormat="1" applyFont="1" applyBorder="1" applyAlignment="1">
      <alignment vertical="top" wrapText="1"/>
    </xf>
    <xf numFmtId="0" fontId="66" fillId="46" borderId="1" xfId="0" applyFont="1" applyFill="1" applyBorder="1" applyAlignment="1">
      <alignment horizontal="center" vertical="top" wrapText="1"/>
    </xf>
    <xf numFmtId="0" fontId="58" fillId="0" borderId="1" xfId="0" applyFont="1" applyBorder="1" applyAlignment="1">
      <alignment horizontal="left" wrapText="1"/>
    </xf>
    <xf numFmtId="0" fontId="67" fillId="0" borderId="1" xfId="0" applyFont="1" applyBorder="1" applyAlignment="1">
      <alignment horizontal="left" vertical="top" wrapText="1"/>
    </xf>
    <xf numFmtId="0" fontId="58" fillId="0" borderId="1" xfId="0" applyFont="1" applyBorder="1" applyAlignment="1">
      <alignment horizontal="left" vertical="center" wrapText="1"/>
    </xf>
    <xf numFmtId="1" fontId="8" fillId="0" borderId="1" xfId="0" applyNumberFormat="1" applyFont="1" applyBorder="1" applyAlignment="1">
      <alignment horizontal="center" vertical="top" shrinkToFit="1"/>
    </xf>
    <xf numFmtId="0" fontId="66" fillId="0" borderId="1" xfId="0" applyFont="1" applyBorder="1" applyAlignment="1">
      <alignment horizontal="left" vertical="top" wrapText="1"/>
    </xf>
    <xf numFmtId="1" fontId="16" fillId="0" borderId="1" xfId="0" applyNumberFormat="1" applyFont="1" applyBorder="1" applyAlignment="1">
      <alignment horizontal="center" vertical="top" shrinkToFit="1"/>
    </xf>
    <xf numFmtId="0" fontId="66" fillId="44" borderId="1" xfId="0" applyFont="1" applyFill="1" applyBorder="1" applyAlignment="1">
      <alignment horizontal="left" vertical="top" wrapText="1" indent="1"/>
    </xf>
    <xf numFmtId="0" fontId="66" fillId="44" borderId="1" xfId="0" applyFont="1" applyFill="1" applyBorder="1" applyAlignment="1">
      <alignment horizontal="center" vertical="top" wrapText="1"/>
    </xf>
    <xf numFmtId="0" fontId="66" fillId="44" borderId="1" xfId="0" applyFont="1" applyFill="1" applyBorder="1" applyAlignment="1">
      <alignment horizontal="left" vertical="top" wrapText="1" indent="2"/>
    </xf>
    <xf numFmtId="0" fontId="58" fillId="45" borderId="1" xfId="0" applyFont="1" applyFill="1" applyBorder="1" applyAlignment="1">
      <alignment horizontal="left" wrapText="1"/>
    </xf>
    <xf numFmtId="0" fontId="66" fillId="45" borderId="1" xfId="0" applyFont="1" applyFill="1" applyBorder="1" applyAlignment="1">
      <alignment horizontal="left" vertical="top" wrapText="1"/>
    </xf>
    <xf numFmtId="4" fontId="10" fillId="0" borderId="1" xfId="0" applyNumberFormat="1" applyFont="1" applyBorder="1" applyAlignment="1">
      <alignment horizontal="right" vertical="top" wrapText="1"/>
    </xf>
    <xf numFmtId="0" fontId="10" fillId="0" borderId="1" xfId="0" applyFont="1" applyBorder="1" applyAlignment="1">
      <alignment horizontal="center" vertical="top" wrapText="1"/>
    </xf>
    <xf numFmtId="0" fontId="11" fillId="0" borderId="1" xfId="0" applyFont="1" applyBorder="1" applyAlignment="1">
      <alignment vertical="top" wrapText="1"/>
    </xf>
    <xf numFmtId="0" fontId="10" fillId="0" borderId="1" xfId="0" applyFont="1" applyBorder="1" applyAlignment="1">
      <alignment horizontal="right" vertical="top" wrapText="1"/>
    </xf>
    <xf numFmtId="0" fontId="8" fillId="11" borderId="1" xfId="0" applyFont="1" applyFill="1" applyBorder="1" applyAlignment="1">
      <alignment horizontal="right" vertical="top" wrapText="1"/>
    </xf>
    <xf numFmtId="0" fontId="9" fillId="0" borderId="9" xfId="0" applyFont="1" applyBorder="1" applyAlignment="1">
      <alignment horizontal="center" vertical="top" wrapText="1"/>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4" fontId="10" fillId="0" borderId="9" xfId="0" applyNumberFormat="1" applyFont="1" applyBorder="1" applyAlignment="1">
      <alignment horizontal="right" vertical="top" wrapText="1"/>
    </xf>
    <xf numFmtId="4" fontId="10" fillId="0" borderId="8" xfId="0" applyNumberFormat="1" applyFont="1" applyBorder="1" applyAlignment="1">
      <alignment horizontal="right" vertical="top" wrapText="1"/>
    </xf>
    <xf numFmtId="4" fontId="10" fillId="0" borderId="10" xfId="0" applyNumberFormat="1" applyFont="1" applyBorder="1" applyAlignment="1">
      <alignment horizontal="right" vertical="top" wrapText="1"/>
    </xf>
    <xf numFmtId="0" fontId="14" fillId="0" borderId="1" xfId="0" applyFont="1" applyBorder="1" applyAlignment="1">
      <alignment horizontal="center" vertical="top" wrapText="1"/>
    </xf>
    <xf numFmtId="0" fontId="16" fillId="0" borderId="1" xfId="0" applyFont="1" applyBorder="1" applyAlignment="1">
      <alignment horizontal="right" vertical="top" wrapText="1"/>
    </xf>
    <xf numFmtId="0" fontId="0" fillId="21" borderId="2" xfId="0" applyFill="1" applyBorder="1" applyAlignment="1">
      <alignment horizontal="left" vertical="top" wrapText="1"/>
    </xf>
    <xf numFmtId="0" fontId="0" fillId="0" borderId="2" xfId="0" applyBorder="1" applyAlignment="1">
      <alignment horizontal="center" vertical="top" wrapText="1"/>
    </xf>
    <xf numFmtId="0" fontId="0" fillId="0" borderId="1" xfId="0" applyBorder="1" applyAlignment="1">
      <alignment vertical="top"/>
    </xf>
    <xf numFmtId="0" fontId="0" fillId="0" borderId="1" xfId="0" applyBorder="1" applyAlignment="1">
      <alignment horizontal="center" vertical="top"/>
    </xf>
    <xf numFmtId="0" fontId="32" fillId="0" borderId="1" xfId="0" applyFont="1" applyBorder="1" applyAlignment="1">
      <alignment horizontal="center" vertical="top"/>
    </xf>
    <xf numFmtId="15" fontId="0" fillId="0" borderId="1" xfId="0" applyNumberFormat="1" applyBorder="1" applyAlignment="1">
      <alignment horizontal="center" vertical="top"/>
    </xf>
    <xf numFmtId="0" fontId="47" fillId="0" borderId="35" xfId="0" applyFont="1" applyBorder="1" applyAlignment="1">
      <alignment vertical="top" wrapText="1"/>
    </xf>
    <xf numFmtId="0" fontId="52" fillId="37" borderId="23" xfId="0" applyFont="1" applyFill="1" applyBorder="1" applyAlignment="1">
      <alignment horizontal="center" vertical="top" wrapText="1"/>
    </xf>
    <xf numFmtId="0" fontId="52" fillId="37" borderId="14" xfId="0" applyFont="1" applyFill="1" applyBorder="1" applyAlignment="1">
      <alignment horizontal="center" vertical="top" wrapText="1"/>
    </xf>
    <xf numFmtId="0" fontId="7" fillId="4" borderId="1" xfId="0" applyFont="1" applyFill="1" applyBorder="1" applyAlignment="1">
      <alignment horizontal="center"/>
    </xf>
    <xf numFmtId="0" fontId="7" fillId="4" borderId="5" xfId="0" applyFont="1" applyFill="1" applyBorder="1" applyAlignment="1">
      <alignment horizontal="center"/>
    </xf>
    <xf numFmtId="0" fontId="7" fillId="6" borderId="1" xfId="0" applyFont="1" applyFill="1" applyBorder="1" applyAlignment="1">
      <alignment horizontal="center"/>
    </xf>
    <xf numFmtId="4" fontId="0" fillId="0" borderId="0" xfId="0" applyNumberFormat="1" applyAlignment="1">
      <alignment vertical="top"/>
    </xf>
    <xf numFmtId="43" fontId="58" fillId="0" borderId="1" xfId="3" applyFont="1" applyBorder="1" applyAlignment="1">
      <alignment horizontal="right" wrapText="1"/>
    </xf>
    <xf numFmtId="2" fontId="67" fillId="0" borderId="1" xfId="3" applyNumberFormat="1" applyFont="1" applyBorder="1" applyAlignment="1">
      <alignment horizontal="right" vertical="top" wrapText="1"/>
    </xf>
    <xf numFmtId="2" fontId="67" fillId="47" borderId="1" xfId="3" applyNumberFormat="1" applyFont="1" applyFill="1" applyBorder="1" applyAlignment="1">
      <alignment horizontal="right" vertical="top" wrapText="1"/>
    </xf>
    <xf numFmtId="22" fontId="19" fillId="0" borderId="21" xfId="0" applyNumberFormat="1" applyFont="1" applyBorder="1" applyAlignment="1">
      <alignment vertical="top" wrapText="1" readingOrder="1"/>
    </xf>
    <xf numFmtId="0" fontId="19" fillId="0" borderId="21" xfId="0" applyFont="1" applyBorder="1" applyAlignment="1">
      <alignment vertical="top" wrapText="1" readingOrder="1"/>
    </xf>
    <xf numFmtId="0" fontId="6" fillId="0" borderId="0" xfId="0" applyFont="1" applyAlignment="1">
      <alignment vertical="center"/>
    </xf>
    <xf numFmtId="0" fontId="28" fillId="0" borderId="0" xfId="0" applyFont="1" applyAlignment="1">
      <alignment vertical="top" wrapText="1"/>
    </xf>
    <xf numFmtId="0" fontId="0" fillId="0" borderId="22" xfId="0" applyBorder="1" applyAlignment="1">
      <alignment vertical="top"/>
    </xf>
    <xf numFmtId="0" fontId="0" fillId="27" borderId="1" xfId="0" applyFill="1" applyBorder="1" applyAlignment="1">
      <alignment vertical="top" wrapText="1"/>
    </xf>
    <xf numFmtId="0" fontId="32" fillId="27" borderId="1" xfId="0" applyFont="1" applyFill="1" applyBorder="1" applyAlignment="1">
      <alignment vertical="top" wrapText="1"/>
    </xf>
    <xf numFmtId="0" fontId="6" fillId="27" borderId="1" xfId="0" applyFont="1" applyFill="1" applyBorder="1" applyAlignment="1">
      <alignment vertical="top" wrapText="1"/>
    </xf>
    <xf numFmtId="15" fontId="0" fillId="27" borderId="1" xfId="0" applyNumberFormat="1" applyFill="1" applyBorder="1" applyAlignment="1">
      <alignment vertical="top" wrapText="1"/>
    </xf>
    <xf numFmtId="0" fontId="0" fillId="27" borderId="0" xfId="0" applyFill="1"/>
    <xf numFmtId="0" fontId="0" fillId="21" borderId="0" xfId="0" applyFill="1"/>
    <xf numFmtId="0" fontId="48" fillId="39" borderId="2" xfId="0" applyFont="1" applyFill="1" applyBorder="1" applyAlignment="1">
      <alignment vertical="top" wrapText="1" readingOrder="1"/>
    </xf>
    <xf numFmtId="0" fontId="0" fillId="21" borderId="0" xfId="0" applyFill="1" applyAlignment="1">
      <alignment vertical="top"/>
    </xf>
    <xf numFmtId="0" fontId="48" fillId="40" borderId="2" xfId="0" applyFont="1" applyFill="1" applyBorder="1" applyAlignment="1">
      <alignment vertical="top" wrapText="1" readingOrder="1"/>
    </xf>
    <xf numFmtId="0" fontId="48" fillId="41" borderId="2" xfId="0" applyFont="1" applyFill="1" applyBorder="1" applyAlignment="1">
      <alignment vertical="top" wrapText="1" readingOrder="1"/>
    </xf>
    <xf numFmtId="0" fontId="48" fillId="41" borderId="2" xfId="0" applyFont="1" applyFill="1" applyBorder="1" applyAlignment="1">
      <alignment vertical="top" readingOrder="1"/>
    </xf>
    <xf numFmtId="0" fontId="48" fillId="42" borderId="2" xfId="0" applyFont="1" applyFill="1" applyBorder="1" applyAlignment="1">
      <alignment vertical="top" readingOrder="1"/>
    </xf>
    <xf numFmtId="0" fontId="48" fillId="0" borderId="2" xfId="0" applyFont="1" applyBorder="1" applyAlignment="1">
      <alignment vertical="top" readingOrder="1"/>
    </xf>
    <xf numFmtId="0" fontId="48" fillId="39" borderId="2" xfId="0" applyFont="1" applyFill="1" applyBorder="1" applyAlignment="1">
      <alignment vertical="top" wrapText="1"/>
    </xf>
    <xf numFmtId="0" fontId="48" fillId="40" borderId="2" xfId="0" applyFont="1" applyFill="1" applyBorder="1" applyAlignment="1">
      <alignment vertical="top" readingOrder="1"/>
    </xf>
    <xf numFmtId="0" fontId="48" fillId="40" borderId="2" xfId="0" applyFont="1" applyFill="1" applyBorder="1" applyAlignment="1">
      <alignment vertical="top" readingOrder="1"/>
    </xf>
    <xf numFmtId="0" fontId="48" fillId="41" borderId="2" xfId="0" applyFont="1" applyFill="1" applyBorder="1" applyAlignment="1">
      <alignment vertical="top" wrapText="1"/>
    </xf>
    <xf numFmtId="0" fontId="48" fillId="42" borderId="2" xfId="0" applyFont="1" applyFill="1" applyBorder="1" applyAlignment="1">
      <alignment vertical="top" wrapText="1"/>
    </xf>
    <xf numFmtId="0" fontId="48" fillId="39" borderId="2" xfId="0" applyFont="1" applyFill="1" applyBorder="1" applyAlignment="1">
      <alignment vertical="top" readingOrder="1"/>
    </xf>
    <xf numFmtId="0" fontId="24" fillId="40" borderId="2" xfId="1" applyFill="1" applyBorder="1" applyAlignment="1">
      <alignment vertical="top" readingOrder="1"/>
    </xf>
    <xf numFmtId="0" fontId="0" fillId="19" borderId="1" xfId="0" applyFill="1" applyBorder="1" applyAlignment="1">
      <alignment vertical="top" wrapText="1"/>
    </xf>
    <xf numFmtId="0" fontId="29" fillId="21" borderId="1" xfId="0" applyFont="1" applyFill="1" applyBorder="1" applyAlignment="1">
      <alignment vertical="top"/>
    </xf>
    <xf numFmtId="0" fontId="48" fillId="40" borderId="2" xfId="0" applyFont="1" applyFill="1" applyBorder="1" applyAlignment="1">
      <alignment horizontal="center" vertical="top" readingOrder="1"/>
    </xf>
    <xf numFmtId="0" fontId="48" fillId="42" borderId="2" xfId="0" applyFont="1" applyFill="1" applyBorder="1" applyAlignment="1">
      <alignment vertical="top"/>
    </xf>
    <xf numFmtId="0" fontId="24" fillId="0" borderId="0" xfId="1" applyAlignment="1">
      <alignment vertical="top"/>
    </xf>
    <xf numFmtId="0" fontId="29" fillId="21" borderId="8" xfId="0" applyFont="1" applyFill="1" applyBorder="1" applyAlignment="1">
      <alignment vertical="top"/>
    </xf>
    <xf numFmtId="0" fontId="24" fillId="0" borderId="1" xfId="1" applyBorder="1" applyAlignment="1">
      <alignment vertical="top" wrapText="1"/>
    </xf>
    <xf numFmtId="0" fontId="24" fillId="19" borderId="21" xfId="1" applyFill="1" applyBorder="1" applyAlignment="1">
      <alignment wrapText="1"/>
    </xf>
    <xf numFmtId="0" fontId="52" fillId="0" borderId="1" xfId="0" applyFont="1" applyBorder="1" applyAlignment="1">
      <alignment vertical="top" wrapText="1"/>
    </xf>
    <xf numFmtId="0" fontId="52" fillId="0" borderId="6" xfId="0" applyFont="1" applyBorder="1" applyAlignment="1">
      <alignment vertical="top" wrapText="1"/>
    </xf>
    <xf numFmtId="0" fontId="52" fillId="0" borderId="6" xfId="0" applyFont="1" applyBorder="1" applyAlignment="1">
      <alignment vertical="top" wrapText="1" readingOrder="1"/>
    </xf>
    <xf numFmtId="0" fontId="52" fillId="0" borderId="5" xfId="0" applyFont="1" applyBorder="1" applyAlignment="1">
      <alignment vertical="top" wrapText="1"/>
    </xf>
    <xf numFmtId="0" fontId="52" fillId="0" borderId="6" xfId="0" applyFont="1" applyBorder="1" applyAlignment="1">
      <alignment vertical="top" wrapText="1"/>
    </xf>
    <xf numFmtId="0" fontId="48" fillId="0" borderId="11" xfId="0" applyFont="1" applyBorder="1" applyAlignment="1">
      <alignment vertical="top" wrapText="1" readingOrder="1"/>
    </xf>
    <xf numFmtId="0" fontId="48" fillId="39" borderId="10" xfId="0" applyFont="1" applyFill="1" applyBorder="1" applyAlignment="1">
      <alignment vertical="top" wrapText="1"/>
    </xf>
    <xf numFmtId="0" fontId="48" fillId="39" borderId="11" xfId="0" applyFont="1" applyFill="1" applyBorder="1" applyAlignment="1">
      <alignment vertical="top" wrapText="1"/>
    </xf>
    <xf numFmtId="0" fontId="48" fillId="39" borderId="11" xfId="0" applyFont="1" applyFill="1" applyBorder="1" applyAlignment="1">
      <alignment vertical="top" wrapText="1" readingOrder="1"/>
    </xf>
    <xf numFmtId="0" fontId="24" fillId="39" borderId="11" xfId="1" applyFill="1" applyBorder="1" applyAlignment="1">
      <alignment vertical="top" wrapText="1" readingOrder="1"/>
    </xf>
    <xf numFmtId="0" fontId="48" fillId="40" borderId="8" xfId="0" applyFont="1" applyFill="1" applyBorder="1" applyAlignment="1">
      <alignment vertical="top" wrapText="1"/>
    </xf>
    <xf numFmtId="0" fontId="48" fillId="40" borderId="11" xfId="0" applyFont="1" applyFill="1" applyBorder="1" applyAlignment="1">
      <alignment vertical="top" wrapText="1"/>
    </xf>
    <xf numFmtId="0" fontId="48" fillId="40" borderId="11" xfId="0" applyFont="1" applyFill="1" applyBorder="1" applyAlignment="1">
      <alignment vertical="top" wrapText="1" readingOrder="1"/>
    </xf>
    <xf numFmtId="0" fontId="24" fillId="40" borderId="11" xfId="1" applyFill="1" applyBorder="1" applyAlignment="1">
      <alignment vertical="top" wrapText="1" readingOrder="1"/>
    </xf>
    <xf numFmtId="0" fontId="48" fillId="40" borderId="10" xfId="0" applyFont="1" applyFill="1" applyBorder="1" applyAlignment="1">
      <alignment vertical="top" wrapText="1"/>
    </xf>
    <xf numFmtId="0" fontId="48" fillId="41" borderId="8" xfId="0" applyFont="1" applyFill="1" applyBorder="1" applyAlignment="1">
      <alignment vertical="top" wrapText="1"/>
    </xf>
    <xf numFmtId="0" fontId="48" fillId="41" borderId="11" xfId="0" applyFont="1" applyFill="1" applyBorder="1" applyAlignment="1">
      <alignment vertical="top" wrapText="1"/>
    </xf>
    <xf numFmtId="0" fontId="48" fillId="41" borderId="11" xfId="0" applyFont="1" applyFill="1" applyBorder="1" applyAlignment="1">
      <alignment vertical="top" wrapText="1" readingOrder="1"/>
    </xf>
    <xf numFmtId="0" fontId="24" fillId="41" borderId="11" xfId="1" applyFill="1" applyBorder="1" applyAlignment="1">
      <alignment vertical="top" wrapText="1" readingOrder="1"/>
    </xf>
    <xf numFmtId="0" fontId="48" fillId="41" borderId="10" xfId="0" applyFont="1" applyFill="1" applyBorder="1" applyAlignment="1">
      <alignment vertical="top" wrapText="1"/>
    </xf>
    <xf numFmtId="0" fontId="48" fillId="41" borderId="11" xfId="0" applyFont="1" applyFill="1" applyBorder="1" applyAlignment="1">
      <alignment vertical="top" readingOrder="1"/>
    </xf>
    <xf numFmtId="0" fontId="24" fillId="41" borderId="11" xfId="1" applyFill="1" applyBorder="1" applyAlignment="1">
      <alignment vertical="top" readingOrder="1"/>
    </xf>
    <xf numFmtId="11" fontId="48" fillId="41" borderId="11" xfId="0" applyNumberFormat="1" applyFont="1" applyFill="1" applyBorder="1" applyAlignment="1">
      <alignment vertical="top" readingOrder="1"/>
    </xf>
    <xf numFmtId="0" fontId="48" fillId="42" borderId="10" xfId="0" applyFont="1" applyFill="1" applyBorder="1" applyAlignment="1">
      <alignment vertical="top" wrapText="1"/>
    </xf>
    <xf numFmtId="0" fontId="48" fillId="42" borderId="11" xfId="0" applyFont="1" applyFill="1" applyBorder="1" applyAlignment="1">
      <alignment vertical="top" wrapText="1"/>
    </xf>
    <xf numFmtId="0" fontId="48" fillId="42" borderId="11" xfId="0" applyFont="1" applyFill="1" applyBorder="1" applyAlignment="1">
      <alignment vertical="top" wrapText="1" readingOrder="1"/>
    </xf>
    <xf numFmtId="0" fontId="48" fillId="42" borderId="11" xfId="0" applyFont="1" applyFill="1" applyBorder="1" applyAlignment="1">
      <alignment vertical="top"/>
    </xf>
    <xf numFmtId="0" fontId="48" fillId="42" borderId="11" xfId="0" applyFont="1" applyFill="1" applyBorder="1" applyAlignment="1">
      <alignment vertical="top" readingOrder="1"/>
    </xf>
    <xf numFmtId="0" fontId="24" fillId="42" borderId="11" xfId="1" applyFill="1" applyBorder="1" applyAlignment="1">
      <alignment vertical="top" wrapText="1" readingOrder="1"/>
    </xf>
    <xf numFmtId="0" fontId="0" fillId="48" borderId="0" xfId="0" applyFill="1" applyAlignment="1">
      <alignment vertical="top" wrapText="1"/>
    </xf>
    <xf numFmtId="0" fontId="25" fillId="48" borderId="24" xfId="0" applyFont="1" applyFill="1" applyBorder="1" applyAlignment="1">
      <alignment readingOrder="1"/>
    </xf>
    <xf numFmtId="0" fontId="25" fillId="48" borderId="25" xfId="0" applyFont="1" applyFill="1" applyBorder="1" applyAlignment="1">
      <alignment readingOrder="1"/>
    </xf>
    <xf numFmtId="0" fontId="24" fillId="48" borderId="25" xfId="1" applyFill="1" applyBorder="1" applyAlignment="1">
      <alignment readingOrder="1"/>
    </xf>
    <xf numFmtId="0" fontId="25" fillId="48" borderId="26" xfId="0" applyFont="1" applyFill="1" applyBorder="1" applyAlignment="1">
      <alignment readingOrder="1"/>
    </xf>
    <xf numFmtId="0" fontId="19" fillId="48" borderId="0" xfId="0" applyFont="1" applyFill="1" applyAlignment="1">
      <alignment vertical="top" wrapText="1"/>
    </xf>
    <xf numFmtId="0" fontId="19" fillId="48" borderId="24" xfId="0" applyFont="1" applyFill="1" applyBorder="1" applyAlignment="1">
      <alignment vertical="top" wrapText="1" readingOrder="1"/>
    </xf>
    <xf numFmtId="0" fontId="19" fillId="48" borderId="25" xfId="0" applyFont="1" applyFill="1" applyBorder="1" applyAlignment="1">
      <alignment vertical="top" wrapText="1" readingOrder="1"/>
    </xf>
    <xf numFmtId="0" fontId="24" fillId="48" borderId="25" xfId="1" applyFill="1" applyBorder="1" applyAlignment="1">
      <alignment vertical="top" wrapText="1" readingOrder="1"/>
    </xf>
    <xf numFmtId="0" fontId="19" fillId="48" borderId="26" xfId="0" applyFont="1" applyFill="1" applyBorder="1" applyAlignment="1">
      <alignment vertical="top" wrapText="1" readingOrder="1"/>
    </xf>
    <xf numFmtId="0" fontId="35" fillId="21" borderId="1" xfId="0" applyFont="1" applyFill="1" applyBorder="1" applyAlignment="1">
      <alignment vertical="top" wrapText="1"/>
    </xf>
    <xf numFmtId="0" fontId="32" fillId="21" borderId="1" xfId="0" applyFont="1" applyFill="1" applyBorder="1" applyAlignment="1">
      <alignment vertical="top" wrapText="1"/>
    </xf>
    <xf numFmtId="0" fontId="48" fillId="40" borderId="39" xfId="0" applyFont="1" applyFill="1" applyBorder="1" applyAlignment="1">
      <alignment vertical="top" wrapText="1"/>
    </xf>
    <xf numFmtId="0" fontId="48" fillId="0" borderId="0" xfId="0" applyFont="1" applyAlignment="1">
      <alignment vertical="top" readingOrder="1"/>
    </xf>
    <xf numFmtId="0" fontId="48" fillId="0" borderId="0" xfId="0" applyFont="1" applyAlignment="1">
      <alignment vertical="top" wrapText="1" readingOrder="1"/>
    </xf>
    <xf numFmtId="0" fontId="53" fillId="0" borderId="0" xfId="0" applyFont="1" applyAlignment="1">
      <alignment vertical="top" readingOrder="1"/>
    </xf>
    <xf numFmtId="0" fontId="52" fillId="0" borderId="10" xfId="0" applyFont="1" applyBorder="1" applyAlignment="1">
      <alignment vertical="top" wrapText="1"/>
    </xf>
    <xf numFmtId="0" fontId="52" fillId="0" borderId="11" xfId="0" applyFont="1" applyBorder="1" applyAlignment="1">
      <alignment vertical="top" wrapText="1"/>
    </xf>
    <xf numFmtId="0" fontId="48" fillId="39" borderId="9" xfId="0" applyFont="1" applyFill="1" applyBorder="1" applyAlignment="1">
      <alignment vertical="top" wrapText="1"/>
    </xf>
    <xf numFmtId="0" fontId="48" fillId="39" borderId="6" xfId="0" applyFont="1" applyFill="1" applyBorder="1" applyAlignment="1">
      <alignment vertical="top" readingOrder="1"/>
    </xf>
    <xf numFmtId="0" fontId="48" fillId="39" borderId="6" xfId="0" applyFont="1" applyFill="1" applyBorder="1" applyAlignment="1">
      <alignment vertical="top" wrapText="1" readingOrder="1"/>
    </xf>
    <xf numFmtId="0" fontId="24" fillId="39" borderId="6" xfId="1" applyFill="1" applyBorder="1" applyAlignment="1">
      <alignment vertical="top" readingOrder="1"/>
    </xf>
    <xf numFmtId="11" fontId="48" fillId="39" borderId="6" xfId="0" applyNumberFormat="1" applyFont="1" applyFill="1" applyBorder="1" applyAlignment="1">
      <alignment vertical="top" readingOrder="1"/>
    </xf>
    <xf numFmtId="0" fontId="52" fillId="39" borderId="6" xfId="0" applyFont="1" applyFill="1" applyBorder="1" applyAlignment="1">
      <alignment vertical="top" wrapText="1"/>
    </xf>
    <xf numFmtId="0" fontId="48" fillId="39" borderId="39" xfId="0" applyFont="1" applyFill="1" applyBorder="1" applyAlignment="1">
      <alignment vertical="top" wrapText="1"/>
    </xf>
    <xf numFmtId="0" fontId="48" fillId="40" borderId="10" xfId="0" applyFont="1" applyFill="1" applyBorder="1" applyAlignment="1">
      <alignment vertical="top" wrapText="1"/>
    </xf>
    <xf numFmtId="0" fontId="48" fillId="41" borderId="10" xfId="0" applyFont="1" applyFill="1" applyBorder="1" applyAlignment="1">
      <alignment vertical="top" wrapText="1"/>
    </xf>
    <xf numFmtId="0" fontId="24" fillId="42" borderId="11" xfId="1" applyFill="1" applyBorder="1" applyAlignment="1">
      <alignment vertical="top" readingOrder="1"/>
    </xf>
    <xf numFmtId="11" fontId="48" fillId="42" borderId="11" xfId="0" applyNumberFormat="1" applyFont="1" applyFill="1" applyBorder="1" applyAlignment="1">
      <alignment vertical="top" readingOrder="1"/>
    </xf>
    <xf numFmtId="0" fontId="52" fillId="0" borderId="5" xfId="0" applyFont="1" applyBorder="1" applyAlignment="1">
      <alignment vertical="top" readingOrder="1"/>
    </xf>
    <xf numFmtId="0" fontId="52" fillId="0" borderId="6" xfId="0" applyFont="1" applyBorder="1" applyAlignment="1">
      <alignment vertical="top" readingOrder="1"/>
    </xf>
    <xf numFmtId="0" fontId="24" fillId="39" borderId="11" xfId="1" applyFill="1" applyBorder="1" applyAlignment="1">
      <alignment vertical="top" wrapText="1"/>
    </xf>
    <xf numFmtId="11" fontId="48" fillId="39" borderId="11" xfId="0" applyNumberFormat="1" applyFont="1" applyFill="1" applyBorder="1" applyAlignment="1">
      <alignment vertical="top"/>
    </xf>
    <xf numFmtId="0" fontId="48" fillId="40" borderId="11" xfId="0" applyFont="1" applyFill="1" applyBorder="1" applyAlignment="1">
      <alignment vertical="top" readingOrder="1"/>
    </xf>
    <xf numFmtId="0" fontId="24" fillId="40" borderId="11" xfId="1" applyFill="1" applyBorder="1" applyAlignment="1">
      <alignment vertical="top" readingOrder="1"/>
    </xf>
    <xf numFmtId="11" fontId="48" fillId="40" borderId="11" xfId="0" applyNumberFormat="1" applyFont="1" applyFill="1" applyBorder="1" applyAlignment="1">
      <alignment vertical="top" readingOrder="1"/>
    </xf>
    <xf numFmtId="0" fontId="48" fillId="40" borderId="8" xfId="0" applyFont="1" applyFill="1" applyBorder="1" applyAlignment="1">
      <alignment vertical="top" readingOrder="1"/>
    </xf>
    <xf numFmtId="0" fontId="48" fillId="40" borderId="10" xfId="0" applyFont="1" applyFill="1" applyBorder="1" applyAlignment="1">
      <alignment vertical="top" readingOrder="1"/>
    </xf>
    <xf numFmtId="0" fontId="48" fillId="40" borderId="39" xfId="0" applyFont="1" applyFill="1" applyBorder="1" applyAlignment="1">
      <alignment vertical="top" readingOrder="1"/>
    </xf>
    <xf numFmtId="0" fontId="24" fillId="41" borderId="11" xfId="1" applyFill="1" applyBorder="1" applyAlignment="1">
      <alignment vertical="top" wrapText="1"/>
    </xf>
    <xf numFmtId="11" fontId="48" fillId="41" borderId="11" xfId="0" applyNumberFormat="1" applyFont="1" applyFill="1" applyBorder="1" applyAlignment="1">
      <alignment vertical="top"/>
    </xf>
    <xf numFmtId="0" fontId="24" fillId="42" borderId="11" xfId="1" applyFill="1" applyBorder="1" applyAlignment="1">
      <alignment vertical="top" wrapText="1"/>
    </xf>
    <xf numFmtId="11" fontId="48" fillId="42" borderId="11" xfId="0" applyNumberFormat="1" applyFont="1" applyFill="1" applyBorder="1" applyAlignment="1">
      <alignment vertical="top"/>
    </xf>
    <xf numFmtId="0" fontId="48" fillId="0" borderId="11" xfId="0" applyFont="1" applyBorder="1" applyAlignment="1">
      <alignment vertical="top"/>
    </xf>
    <xf numFmtId="0" fontId="68" fillId="0" borderId="10" xfId="0" applyFont="1" applyBorder="1" applyAlignment="1">
      <alignment vertical="top" wrapText="1"/>
    </xf>
    <xf numFmtId="0" fontId="68" fillId="0" borderId="11" xfId="0" applyFont="1" applyBorder="1" applyAlignment="1">
      <alignment vertical="top" wrapText="1"/>
    </xf>
    <xf numFmtId="0" fontId="68" fillId="0" borderId="11" xfId="0" applyFont="1" applyBorder="1" applyAlignment="1">
      <alignment vertical="top"/>
    </xf>
    <xf numFmtId="0" fontId="53" fillId="0" borderId="0" xfId="0" applyFont="1" applyAlignment="1">
      <alignment vertical="top" wrapText="1"/>
    </xf>
    <xf numFmtId="0" fontId="48" fillId="0" borderId="0" xfId="0" applyFont="1" applyAlignment="1">
      <alignment vertical="top"/>
    </xf>
    <xf numFmtId="0" fontId="48" fillId="39" borderId="11" xfId="0" applyFont="1" applyFill="1" applyBorder="1" applyAlignment="1">
      <alignment vertical="top" readingOrder="1"/>
    </xf>
    <xf numFmtId="11" fontId="48" fillId="39" borderId="11" xfId="0" applyNumberFormat="1" applyFont="1" applyFill="1" applyBorder="1" applyAlignment="1">
      <alignment vertical="top" readingOrder="1"/>
    </xf>
    <xf numFmtId="0" fontId="48" fillId="40" borderId="11" xfId="0" quotePrefix="1" applyFont="1" applyFill="1" applyBorder="1" applyAlignment="1">
      <alignment vertical="top" readingOrder="1"/>
    </xf>
    <xf numFmtId="0" fontId="48" fillId="40" borderId="8" xfId="0" applyFont="1" applyFill="1" applyBorder="1" applyAlignment="1">
      <alignment vertical="top" wrapText="1" readingOrder="1"/>
    </xf>
    <xf numFmtId="0" fontId="53" fillId="40" borderId="11" xfId="0" applyFont="1" applyFill="1" applyBorder="1" applyAlignment="1">
      <alignment vertical="top" readingOrder="1"/>
    </xf>
    <xf numFmtId="0" fontId="48" fillId="40" borderId="39" xfId="0" applyFont="1" applyFill="1" applyBorder="1" applyAlignment="1">
      <alignment vertical="top" wrapText="1" readingOrder="1"/>
    </xf>
    <xf numFmtId="0" fontId="48" fillId="41" borderId="8" xfId="0" applyFont="1" applyFill="1" applyBorder="1" applyAlignment="1">
      <alignment vertical="top" wrapText="1"/>
    </xf>
    <xf numFmtId="0" fontId="48" fillId="41" borderId="4" xfId="0" applyFont="1" applyFill="1" applyBorder="1" applyAlignment="1">
      <alignment vertical="top" readingOrder="1"/>
    </xf>
    <xf numFmtId="0" fontId="48" fillId="41" borderId="4" xfId="0" applyFont="1" applyFill="1" applyBorder="1" applyAlignment="1">
      <alignment vertical="top" wrapText="1" readingOrder="1"/>
    </xf>
    <xf numFmtId="0" fontId="24" fillId="41" borderId="4" xfId="1" applyFill="1" applyBorder="1" applyAlignment="1">
      <alignment vertical="top" readingOrder="1"/>
    </xf>
    <xf numFmtId="11" fontId="48" fillId="41" borderId="4" xfId="0" applyNumberFormat="1" applyFont="1" applyFill="1" applyBorder="1" applyAlignment="1">
      <alignment vertical="top" readingOrder="1"/>
    </xf>
    <xf numFmtId="0" fontId="48" fillId="41" borderId="4" xfId="0" applyFont="1" applyFill="1" applyBorder="1" applyAlignment="1">
      <alignment vertical="top" wrapText="1"/>
    </xf>
    <xf numFmtId="0" fontId="48" fillId="42" borderId="1" xfId="0" applyFont="1" applyFill="1" applyBorder="1" applyAlignment="1">
      <alignment vertical="top" wrapText="1"/>
    </xf>
    <xf numFmtId="0" fontId="48" fillId="42" borderId="6" xfId="0" applyFont="1" applyFill="1" applyBorder="1" applyAlignment="1">
      <alignment vertical="top" wrapText="1"/>
    </xf>
    <xf numFmtId="0" fontId="48" fillId="42" borderId="6" xfId="0" applyFont="1" applyFill="1" applyBorder="1" applyAlignment="1">
      <alignment vertical="top"/>
    </xf>
    <xf numFmtId="0" fontId="24" fillId="39" borderId="11" xfId="1" applyFill="1" applyBorder="1" applyAlignment="1">
      <alignment vertical="top" readingOrder="1"/>
    </xf>
    <xf numFmtId="0" fontId="0" fillId="21" borderId="1" xfId="0" applyFill="1" applyBorder="1" applyAlignment="1">
      <alignment vertical="top" wrapText="1"/>
    </xf>
    <xf numFmtId="0" fontId="24" fillId="0" borderId="21" xfId="1" applyBorder="1" applyAlignment="1">
      <alignment vertical="top" wrapText="1" readingOrder="1"/>
    </xf>
    <xf numFmtId="0" fontId="24" fillId="19" borderId="0" xfId="1" applyFill="1" applyAlignment="1">
      <alignment vertical="top" wrapText="1"/>
    </xf>
    <xf numFmtId="18" fontId="32" fillId="27" borderId="1" xfId="0" applyNumberFormat="1" applyFont="1" applyFill="1" applyBorder="1" applyAlignment="1">
      <alignment vertical="top" wrapText="1"/>
    </xf>
    <xf numFmtId="0" fontId="24" fillId="27" borderId="0" xfId="1" applyFill="1"/>
    <xf numFmtId="0" fontId="35" fillId="49" borderId="1" xfId="0" applyFont="1" applyFill="1" applyBorder="1" applyAlignment="1">
      <alignment vertical="top" wrapText="1"/>
    </xf>
    <xf numFmtId="0" fontId="43" fillId="21" borderId="10" xfId="0" applyFont="1" applyFill="1" applyBorder="1" applyAlignment="1">
      <alignment vertical="top" wrapText="1"/>
    </xf>
    <xf numFmtId="0" fontId="43" fillId="21" borderId="9" xfId="0" applyFont="1" applyFill="1" applyBorder="1" applyAlignment="1">
      <alignment vertical="top" wrapText="1"/>
    </xf>
    <xf numFmtId="0" fontId="0" fillId="24" borderId="0" xfId="0" applyFill="1"/>
    <xf numFmtId="0" fontId="0" fillId="24" borderId="22" xfId="0" applyFill="1" applyBorder="1" applyAlignment="1">
      <alignment wrapText="1"/>
    </xf>
    <xf numFmtId="0" fontId="69" fillId="0" borderId="0" xfId="0" applyFont="1" applyAlignment="1">
      <alignment wrapText="1"/>
    </xf>
    <xf numFmtId="0" fontId="0" fillId="0" borderId="8" xfId="0" applyBorder="1" applyAlignment="1">
      <alignment vertical="top"/>
    </xf>
    <xf numFmtId="0" fontId="32" fillId="0" borderId="8" xfId="0" applyFont="1" applyBorder="1" applyAlignment="1">
      <alignment vertical="top"/>
    </xf>
    <xf numFmtId="0" fontId="35" fillId="3" borderId="1" xfId="0" applyFont="1" applyFill="1" applyBorder="1" applyAlignment="1">
      <alignment vertical="top"/>
    </xf>
    <xf numFmtId="0" fontId="68" fillId="40" borderId="11" xfId="0" applyFont="1" applyFill="1" applyBorder="1" applyAlignment="1">
      <alignment vertical="top" readingOrder="1"/>
    </xf>
    <xf numFmtId="0" fontId="72" fillId="0" borderId="1" xfId="0" applyFont="1" applyBorder="1" applyAlignment="1">
      <alignment vertical="top" wrapText="1" readingOrder="1"/>
    </xf>
    <xf numFmtId="0" fontId="6" fillId="0" borderId="1" xfId="0" applyFont="1" applyBorder="1" applyAlignment="1">
      <alignment vertical="top" wrapText="1" readingOrder="1"/>
    </xf>
    <xf numFmtId="0" fontId="24" fillId="0" borderId="1" xfId="1" applyBorder="1" applyAlignment="1">
      <alignment vertical="center" wrapText="1"/>
    </xf>
    <xf numFmtId="0" fontId="5" fillId="19" borderId="1" xfId="0" applyFont="1" applyFill="1" applyBorder="1"/>
    <xf numFmtId="0" fontId="70" fillId="50" borderId="1" xfId="0" applyFont="1" applyFill="1" applyBorder="1" applyAlignment="1">
      <alignment horizontal="center" vertical="top"/>
    </xf>
    <xf numFmtId="0" fontId="70" fillId="55" borderId="1" xfId="0" applyFont="1" applyFill="1" applyBorder="1" applyAlignment="1">
      <alignment horizontal="center" vertical="top"/>
    </xf>
    <xf numFmtId="0" fontId="24" fillId="0" borderId="1" xfId="1" applyBorder="1"/>
    <xf numFmtId="0" fontId="71" fillId="0" borderId="1" xfId="0" applyFont="1" applyBorder="1"/>
    <xf numFmtId="0" fontId="73" fillId="0" borderId="1" xfId="0" applyFont="1" applyBorder="1"/>
    <xf numFmtId="0" fontId="70" fillId="30" borderId="1" xfId="0" applyFont="1" applyFill="1" applyBorder="1" applyAlignment="1">
      <alignment horizontal="center" vertical="top"/>
    </xf>
    <xf numFmtId="0" fontId="70" fillId="48" borderId="1" xfId="0" applyFont="1" applyFill="1" applyBorder="1" applyAlignment="1">
      <alignment horizontal="center" vertical="top"/>
    </xf>
    <xf numFmtId="0" fontId="70" fillId="52" borderId="1" xfId="0" applyFont="1" applyFill="1" applyBorder="1" applyAlignment="1">
      <alignment horizontal="center" vertical="top"/>
    </xf>
    <xf numFmtId="0" fontId="70" fillId="53" borderId="1" xfId="0" applyFont="1" applyFill="1" applyBorder="1" applyAlignment="1">
      <alignment horizontal="center" vertical="top"/>
    </xf>
    <xf numFmtId="0" fontId="70" fillId="54" borderId="1" xfId="0" applyFont="1" applyFill="1" applyBorder="1" applyAlignment="1">
      <alignment horizontal="center" vertical="top"/>
    </xf>
    <xf numFmtId="0" fontId="70" fillId="22" borderId="1" xfId="0" applyFont="1" applyFill="1" applyBorder="1" applyAlignment="1">
      <alignment horizontal="center" vertical="top"/>
    </xf>
    <xf numFmtId="0" fontId="70" fillId="51" borderId="1" xfId="0" applyFont="1" applyFill="1" applyBorder="1" applyAlignment="1">
      <alignment horizontal="center" vertical="top"/>
    </xf>
    <xf numFmtId="0" fontId="6" fillId="0" borderId="8" xfId="0" applyFont="1" applyBorder="1"/>
  </cellXfs>
  <cellStyles count="4">
    <cellStyle name="Comma" xfId="3" builtinId="3"/>
    <cellStyle name="Currency" xfId="2" builtinId="4"/>
    <cellStyle name="Hyperlink" xfId="1" builtinId="8"/>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Nene" refreshedDate="46116.740984490738" createdVersion="8" refreshedVersion="8" minRefreshableVersion="3" recordCount="157" xr:uid="{AFF1E1C8-B7AB-4403-B66F-1E0CF5983DF5}">
  <cacheSource type="worksheet">
    <worksheetSource ref="B2:K159" sheet="LPI-MPI List"/>
  </cacheSource>
  <cacheFields count="10">
    <cacheField name="Sr. No." numFmtId="0">
      <sharedItems containsSemiMixedTypes="0" containsString="0" containsNumber="1" containsInteger="1" minValue="1" maxValue="157"/>
    </cacheField>
    <cacheField name="PI Name" numFmtId="0">
      <sharedItems/>
    </cacheField>
    <cacheField name="Department" numFmtId="0">
      <sharedItems containsBlank="1"/>
    </cacheField>
    <cacheField name="Institute" numFmtId="0">
      <sharedItems/>
    </cacheField>
    <cacheField name="Email" numFmtId="0">
      <sharedItems containsBlank="1"/>
    </cacheField>
    <cacheField name="Hub" numFmtId="0">
      <sharedItems count="6">
        <s v="IIT Bombay"/>
        <s v="IISc Bangalore"/>
        <s v="IIT Delhi"/>
        <s v="IIT Madras"/>
        <s v=" "/>
        <s v="IISc Bangalore | IIT Bombay"/>
      </sharedItems>
    </cacheField>
    <cacheField name="TG" numFmtId="0">
      <sharedItems/>
    </cacheField>
    <cacheField name="Role" numFmtId="0">
      <sharedItems/>
    </cacheField>
    <cacheField name="Validation" numFmtId="0">
      <sharedItems/>
    </cacheField>
    <cacheField name="Registration Status"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n v="1"/>
    <s v="Dr. A R Harish"/>
    <s v="Department of Electrical Engineering"/>
    <s v="Indian Institute of Technology Kanpur"/>
    <s v="arh@iitk.ac.in"/>
    <x v="0"/>
    <s v="TG 2 Saikat Ghosh"/>
    <s v="MPI"/>
    <e v="#N/A"/>
    <x v="0"/>
  </r>
  <r>
    <n v="2"/>
    <s v="Dr. Akshay Naik"/>
    <s v="Centre for Nano Science and Engineering"/>
    <s v="Indian Institute of Science Bangalore"/>
    <s v="anaik@iisc.ac.in"/>
    <x v="0"/>
    <s v="TG 2 Saikat Ghosh"/>
    <s v="MPI"/>
    <s v="anaik@iisc.ac.in"/>
    <x v="1"/>
  </r>
  <r>
    <n v="3"/>
    <s v="Dr. Akshay Singh"/>
    <s v="Department of Physics"/>
    <s v="Indian Institute of Science Bangalore"/>
    <s v="aksy@iisc.ac.in"/>
    <x v="1"/>
    <s v="TG 1 Photonics quantum processor development"/>
    <s v="MPI"/>
    <s v="aksy@iisc.ac.in"/>
    <x v="1"/>
  </r>
  <r>
    <n v="4"/>
    <s v="Dr. Amit Kumar Verma"/>
    <s v="Department of Electrical Engineering"/>
    <s v="Indian Institute of Technology Kanpur"/>
    <s v="amitkver@iitk.ac.in"/>
    <x v="0"/>
    <s v="TG 2 Saikat Ghosh"/>
    <s v="MPI"/>
    <e v="#N/A"/>
    <x v="0"/>
  </r>
  <r>
    <n v="5"/>
    <s v="Dr. Amitangshu Pal"/>
    <s v="Department of Computer Science and Engineering"/>
    <s v="Indian Institute of Technology Kanpur"/>
    <s v="amitangshu@cse.iitk.ac.in"/>
    <x v="0"/>
    <s v="TG 2 Saikat Ghosh"/>
    <s v="MPI"/>
    <s v="amitangshu@cse.iitk.ac.in"/>
    <x v="1"/>
  </r>
  <r>
    <n v="6"/>
    <s v="Dr. Anil Shaji"/>
    <s v="School of Physics"/>
    <s v="Indian Institute of Science Education and Research Thiruvananthapuram"/>
    <s v=" shaji@iisertvm.ac.in"/>
    <x v="1"/>
    <s v="TG 4 Development of a 50-qubit quantum information processor with electron spins in silicon"/>
    <s v="MPI"/>
    <e v="#N/A"/>
    <x v="1"/>
  </r>
  <r>
    <n v="7"/>
    <s v="Dr. Anirban Mitra"/>
    <s v="Department of Physics"/>
    <s v="Indian Institute of Technology Roorkee"/>
    <s v="anirban.mitra@ph.iitr.ac.in"/>
    <x v="2"/>
    <s v="TG3:WaveguideandIntegratedQuantumPhotonics"/>
    <s v="MPI"/>
    <s v="anirban.mitra@ph.iitr.ac.in"/>
    <x v="1"/>
  </r>
  <r>
    <n v="8"/>
    <s v="Dr. Ankur Raina"/>
    <s v="Department of Electrical Engineering and Computer Science"/>
    <s v="Indian Institute of Science Education and Research Bhopal"/>
    <s v="ankur@iiserb.ac.in"/>
    <x v="3"/>
    <s v="TAHQEECAT"/>
    <s v="MPI"/>
    <s v="ankur@iiserb.ac.in"/>
    <x v="1"/>
  </r>
  <r>
    <n v="9"/>
    <s v="Dr. Anshul Jaiswal "/>
    <s v="Department of Electronics and Communication Engineering"/>
    <s v="Indian Institute of Technology Roorkee"/>
    <s v="anshul.jaiswal@ece.iitr.ac.in"/>
    <x v="3"/>
    <s v="TAHQEECAT"/>
    <s v="MPI"/>
    <s v="anshul.jaiswal@ece.iitr.ac.in"/>
    <x v="1"/>
  </r>
  <r>
    <n v="10"/>
    <s v="Dr. Anshuman Kumar"/>
    <s v="Department of Physics"/>
    <s v="Indian Institute of Technology Bombay"/>
    <s v="anshuman.kumar@iitb.ac. in"/>
    <x v="2"/>
    <s v="TG2: Wafer-scale Emitter and Detector Arrays for Multi-wavelength RoomTemperature Photonic Quantum Technologie"/>
    <s v="MPI"/>
    <e v="#N/A"/>
    <x v="1"/>
  </r>
  <r>
    <n v="11"/>
    <s v="Dr. Arijit Sharma"/>
    <s v="Department of Physics"/>
    <s v="Indian Institute of Technology Tirupati"/>
    <s v="arijit@iittp.ac.in"/>
    <x v="3"/>
    <s v="QuePRAN"/>
    <s v="MPI"/>
    <s v="arijit@iittp.ac.in"/>
    <x v="1"/>
  </r>
  <r>
    <n v="12"/>
    <s v="Dr. Arnab Khan"/>
    <s v="Department of Physics"/>
    <s v="Indian Institute of Science Education and Research Bhopal"/>
    <s v="arnabk@iiserb.ac.in"/>
    <x v="0"/>
    <s v="TG 1 Kasturi Saha"/>
    <s v="MPI"/>
    <e v="#N/A"/>
    <x v="0"/>
  </r>
  <r>
    <n v="13"/>
    <s v="Dr. Ashok K Mohapatra"/>
    <s v="School of Physical Sciences"/>
    <s v="National Institue of Science Education and Research Bhubaneswar"/>
    <s v="a.mohapatra@niser.ac.in"/>
    <x v="1"/>
    <s v="TG 6 Quantum Computing with Neutral Atoms, Trapped Ions and Related Hybrid Systems"/>
    <s v="MPI"/>
    <s v="a.mohapatra@niser.ac.in"/>
    <x v="1"/>
  </r>
  <r>
    <n v="14"/>
    <s v="Dr. Ashok Kumar"/>
    <s v="Department of Physics"/>
    <s v="Indian Institute of Space Science and Technology (IIST), DoS"/>
    <s v="ashokkumar@iist.ac.in"/>
    <x v="3"/>
    <s v="TG 5: Satellite based Quantum Key Distribution"/>
    <s v="MPI"/>
    <e v="#N/A"/>
    <x v="0"/>
  </r>
  <r>
    <n v="15"/>
    <s v="Dr. Awanish Pandey"/>
    <s v="Optics and Photonics Centre"/>
    <s v="Indian Institute of Technology Delhi"/>
    <s v="awanish@ee.iitd.ac.in"/>
    <x v="1"/>
    <s v="TG 1 Photonics quantum processor development"/>
    <s v="MPI"/>
    <e v="#N/A"/>
    <x v="1"/>
  </r>
  <r>
    <n v="16"/>
    <s v="Dr. B Prasanna Venkatesh"/>
    <s v="Department of Physics"/>
    <s v="Indian Institute of Technology Gandhinagar"/>
    <s v="prasanna.b@iitgn.ac.in"/>
    <x v="0"/>
    <s v="TG 2 Saikat Ghosh"/>
    <s v="MPI"/>
    <e v="#N/A"/>
    <x v="0"/>
  </r>
  <r>
    <n v="17"/>
    <s v="Dr. Baladitya Suri"/>
    <s v="Department of Instrumentation and Applied Physics"/>
    <s v="Indian Institute of Science Bangalore"/>
    <s v="surib@iisc.ac.in"/>
    <x v="1"/>
    <s v="TG 5 Quantum computers with Superconducting Qubits"/>
    <s v="MPI"/>
    <s v="surib@iisc.ac.in"/>
    <x v="1"/>
  </r>
  <r>
    <n v="18"/>
    <s v="Dr. Bhaskar Kanseri"/>
    <s v="Department of Physics"/>
    <s v="Indian Institute of Technology Delhi"/>
    <s v="bkanseri@physics.iitd.ac.in"/>
    <x v="3"/>
    <s v="TAHQEECAT"/>
    <s v="LPI"/>
    <s v="bkanseri@physics.iitd.ac.in"/>
    <x v="1"/>
  </r>
  <r>
    <n v="19"/>
    <s v="Dr. Bimalendu Deb"/>
    <s v="School of Physical Sciences"/>
    <s v="Indian Association for the Cultivation of Science"/>
    <s v="msbd@iacs.res.in"/>
    <x v="0"/>
    <s v="TG 2 Saikat Ghosh"/>
    <s v="MPI"/>
    <s v="msbd@iacs.res.in"/>
    <x v="1"/>
  </r>
  <r>
    <n v="20"/>
    <s v="Dr. Chandan Samanta"/>
    <s v="Department of Physics"/>
    <s v="Indian Institute of Science Education and Research Bhopal"/>
    <s v="csamanta@iiserb.ac.in"/>
    <x v="0"/>
    <s v="TG 1 Kasturi Saha"/>
    <s v="MPI"/>
    <e v="#N/A"/>
    <x v="0"/>
  </r>
  <r>
    <n v="21"/>
    <s v="Dr. D. S. Rawal"/>
    <s v="Department of Physics"/>
    <s v="Solid State Physics laboratory (SSPL), Defense Research Development Organization (DRDO)"/>
    <s v="ds-rawal.sspl@gov.in"/>
    <x v="2"/>
    <s v="TG1: Development ofOn-DemandSinglePhotonEmitters, SinglePhotonAvalancheDetectors,High-FrequencyDevices andInP-BasedEpitaxialSemiconductors"/>
    <s v="MPI"/>
    <e v="#N/A"/>
    <x v="1"/>
  </r>
  <r>
    <n v="22"/>
    <s v="Dr. Debapriya Basu Roy"/>
    <s v="Department of Computer Science and Engineering"/>
    <s v="Indian Institute of Technology Kanpur"/>
    <s v="dbroy@cse.iitk.ac.in"/>
    <x v="3"/>
    <s v="PIPETA: Post Quantum Cryptography"/>
    <s v="MPI"/>
    <s v="dbroy@cse.iitk.ac.in"/>
    <x v="1"/>
  </r>
  <r>
    <n v="23"/>
    <s v="Dr. Debdeep Mukhopadhyay"/>
    <s v="Department of Computer Science and Engineering"/>
    <s v="Indian Institute of Technology Kharagpur"/>
    <s v="debdeep@cse.iitkgp.ac.in"/>
    <x v="3"/>
    <s v="PIPETA: Post Quantum Cryptography"/>
    <s v="MPI"/>
    <e v="#N/A"/>
    <x v="1"/>
  </r>
  <r>
    <n v="24"/>
    <s v="Dr. Dhiman Saha"/>
    <s v="Department of Computer Science and Engineering"/>
    <s v="Indian Institute of Technology Bhilai"/>
    <s v="dhiman@iitbhilai.ac.in"/>
    <x v="3"/>
    <s v="PIPETA: Post Quantum Cryptography"/>
    <s v="MPI"/>
    <s v="dhiman@iitbhilai.ac.in"/>
    <x v="1"/>
  </r>
  <r>
    <n v="25"/>
    <s v="Dr. G Rajalakshmi"/>
    <s v="Department of Chemical Sciences"/>
    <s v="Tata Institute of Fundamental Research Hyderabad"/>
    <s v="raji@tifrh.res.in"/>
    <x v="0"/>
    <s v="TG 2 Saikat Ghosh"/>
    <s v="MPI"/>
    <s v="raji@tifrh.res.in"/>
    <x v="1"/>
  </r>
  <r>
    <n v="26"/>
    <s v="Dr. Gannavarpu Rajshekhar"/>
    <s v="Department of Electrical Engineering"/>
    <s v="Indian Institute of Technology Kanpur"/>
    <s v="gshekhar@iitk.ac.in"/>
    <x v="0"/>
    <s v="TG 3 Anand Jha"/>
    <s v="MPI"/>
    <e v="#N/A"/>
    <x v="0"/>
  </r>
  <r>
    <n v="27"/>
    <s v="Dr. Girish Vasant Kulkarni"/>
    <s v="Department of Physics"/>
    <s v="Indian Institute of Technology Ropar"/>
    <s v="girishk@iitrpr.ac.in"/>
    <x v="0"/>
    <s v="TG 3 Anand Jha"/>
    <s v="MPI"/>
    <s v="girishk@iitrpr.ac.in"/>
    <x v="1"/>
  </r>
  <r>
    <n v="28"/>
    <s v="Dr. K R Yogesh Prasad "/>
    <s v="Communication Systems Group"/>
    <s v="ISRO Satellite Center"/>
    <s v="yogeshprasad@isro.gov.in"/>
    <x v="3"/>
    <s v="TG 5: Satellite based Quantum Key Distribution"/>
    <s v="MPI"/>
    <e v="#N/A"/>
    <x v="0"/>
  </r>
  <r>
    <n v="29"/>
    <s v="Dr. Kanhaiya Pandey"/>
    <s v="Department of Physics"/>
    <s v="Indian Institute of Technology Guwahati"/>
    <s v="kanhaiyapandey@iitg.ac.in"/>
    <x v="1"/>
    <s v="TG 6 Quantum Computing with Neutral Atoms, Trapped Ions and Related Hybrid Systems"/>
    <s v="MPI"/>
    <s v="kanhaiyapandey@iitg.ac.in"/>
    <x v="1"/>
  </r>
  <r>
    <n v="30"/>
    <s v="Dr. Kasturi Saha"/>
    <s v="Department of Electrical Engineering"/>
    <s v="Indian Institute of Technology Bombay"/>
    <s v="pic@qmettech.com"/>
    <x v="0"/>
    <s v="TG 1 Kasturi Saha"/>
    <s v="LPI"/>
    <s v="pic@qmettech.com"/>
    <x v="1"/>
  </r>
  <r>
    <n v="31"/>
    <s v="Dr. Kaushik Saha "/>
    <s v="Department of Electrical Engineering"/>
    <s v="Indian Institute of Technology Delhi"/>
    <s v="ksaha@ee.iitd.ac.in"/>
    <x v="1"/>
    <s v="TG 3 Design and Demonstration of a Highly Scalable Quantum Computer using Semiconducting Qubits"/>
    <s v="MPI"/>
    <e v="#N/A"/>
    <x v="0"/>
  </r>
  <r>
    <n v="32"/>
    <s v="Dr. Madhu Thalakulam"/>
    <s v="Department of Physics"/>
    <s v="Indian Institute of Science Education and Research Thiruvananthapuram"/>
    <s v="madhu@iisertvm.ac.in"/>
    <x v="1"/>
    <s v="TG 4 Development of a 50-qubit quantum information processor with electron spins in silicon"/>
    <s v="MPI"/>
    <s v="madhu@iisertvm.ac.in"/>
    <x v="1"/>
  </r>
  <r>
    <n v="33"/>
    <s v="Dr. Manik Banik"/>
    <s v="Department of Physics of Complex Systems"/>
    <s v="S.N. Bose National Centre for Basic Sciences"/>
    <s v="manik.banik@bose.res.in"/>
    <x v="0"/>
    <s v="TG 3 Anand Jha"/>
    <s v="MPI"/>
    <e v="#N/A"/>
    <x v="0"/>
  </r>
  <r>
    <n v="34"/>
    <s v="Dr. Mrigank Sharad"/>
    <s v="Rajendra Mishra School of Entrepreneurship"/>
    <s v="Indian Institute of Technology Kharagpur"/>
    <s v="mrigank@see.iitk.gp.ac.in"/>
    <x v="2"/>
    <s v="TG3:WaveguideandIntegratedQuantumPhotonics"/>
    <s v="MPI"/>
    <e v="#N/A"/>
    <x v="1"/>
  </r>
  <r>
    <n v="35"/>
    <s v="Dr. Naresh Kumar Emani"/>
    <s v="Department of Electrical Engineering"/>
    <s v="Indian Institute of Technology Hyderabad"/>
    <s v="naresh@ee.iith.ac.in"/>
    <x v="3"/>
    <s v="QuILA"/>
    <s v="MPI"/>
    <e v="#N/A"/>
    <x v="1"/>
  </r>
  <r>
    <n v="36"/>
    <s v="Dr. Natarajan Venkatachalam"/>
    <s v="Quantum Technology"/>
    <s v="Society for Electronic Transactions and Security (SETS)"/>
    <s v="natarajan@setsindia.net"/>
    <x v="1"/>
    <s v="QuILA"/>
    <s v="MPI"/>
    <s v="natarajan@setsindia.net"/>
    <x v="1"/>
  </r>
  <r>
    <n v="37"/>
    <s v="Dr. Neel Kanth Kundu"/>
    <s v="Centre for Applied Research in Electronics (CARE)"/>
    <s v="Indian Institute of Technology Delhi"/>
    <s v="neelkanth@iitd.ac.in"/>
    <x v="3"/>
    <s v="TAHQEECAT"/>
    <s v="LPI"/>
    <s v="neelkanth@iitd.ac.in"/>
    <x v="1"/>
  </r>
  <r>
    <n v="38"/>
    <s v="Dr. Parvendra Kumar "/>
    <s v="Optics and Photonics Centre"/>
    <s v="Indian Institute of Technology Delhi"/>
    <s v="parvendra@opc.iitd.ac.in"/>
    <x v="3"/>
    <s v="TAHQEECAT"/>
    <s v="LPI"/>
    <e v="#N/A"/>
    <x v="1"/>
  </r>
  <r>
    <n v="39"/>
    <s v="Dr. Phani Kumar Peddibhotla"/>
    <s v="Department of Physics"/>
    <s v="Indian Institute of Science Education and Research Bhopal"/>
    <s v="phani@iiserb.ac.in"/>
    <x v="0"/>
    <s v="TG 2 Saikat Ghosh"/>
    <s v="MPI"/>
    <s v="phani@iiserb.ac.in"/>
    <x v="1"/>
  </r>
  <r>
    <n v="40"/>
    <s v="Dr. Prabha Mandayam"/>
    <s v="Department of Physics"/>
    <s v="Indian Institute of Technology Madras"/>
    <s v="prabhamd@physics.iitm.ac.in"/>
    <x v="1"/>
    <s v="TG 5 Quantum computers with Superconducting Qubits"/>
    <s v="MPI"/>
    <s v="prabhamd@physics.iitm.ac.in"/>
    <x v="1"/>
  </r>
  <r>
    <n v="41"/>
    <s v="Dr. Pradeep Kiran Sarvepalli"/>
    <s v="Department of Electrical Engineering"/>
    <s v="Indian Institute of Technology Madras"/>
    <s v="pradeep@ee.iitm.ac.in"/>
    <x v="4"/>
    <s v=" "/>
    <s v=" "/>
    <e v="#N/A"/>
    <x v="0"/>
  </r>
  <r>
    <n v="42"/>
    <s v="Dr. Prasana Kumar Sahoo"/>
    <s v="Materials Science Centre"/>
    <s v="Indian Institute of Technology Kharagpur"/>
    <s v="prasana@matsc.iitkgp.ac.in"/>
    <x v="2"/>
    <s v="TG2: Wafer-scale Emitter and Detector Arrays for Multi-wavelength RoomTemperature Photonic Quantum Technologie"/>
    <s v="MPI"/>
    <e v="#N/A"/>
    <x v="1"/>
  </r>
  <r>
    <n v="43"/>
    <s v="Dr. Prosenjit Sen"/>
    <s v="Centre for Nano Science and Engineering"/>
    <s v="Indian Institute of Science Bangalore"/>
    <s v="prosenjits@iisc.ac.in"/>
    <x v="0"/>
    <s v="TG 2 Saikat Ghosh"/>
    <s v="MPI"/>
    <s v="prosenjits@iisc.ac.in"/>
    <x v="1"/>
  </r>
  <r>
    <n v="44"/>
    <s v="Dr. Raghavan K Easwaran"/>
    <s v="Department of Physics"/>
    <s v="Indian Institute of Technology Patna"/>
    <s v="raghavanke@iitp.ac.in"/>
    <x v="3"/>
    <s v="QuePRAN"/>
    <s v="MPI"/>
    <s v="raghavanke@iitp.ac.in"/>
    <x v="1"/>
  </r>
  <r>
    <n v="45"/>
    <s v="Dr. Rahul Singh"/>
    <s v="Department of Electrical Engineering"/>
    <s v="Indian Institute of Technology Bombay"/>
    <s v="rahuls_ee@iitb.ac.in"/>
    <x v="5"/>
    <s v="TG 4 Development of a 50-qubit quantum information processor with electron spins in silicon | TG 1 Kasturi Saha"/>
    <s v="MPI"/>
    <s v="rahuls_ee@iitb.ac.in"/>
    <x v="1"/>
  </r>
  <r>
    <n v="46"/>
    <s v="Dr. Rajamani Vijayaraghavan"/>
    <s v="Condensed Matter Physics and Materials Science"/>
    <s v="Tata Institute of Fundamental Research Mumbai"/>
    <s v="rvijay26@gmail.com"/>
    <x v="1"/>
    <s v="TG 5 Quantum computers with Superconducting Qubits"/>
    <s v="LPI"/>
    <e v="#N/A"/>
    <x v="1"/>
  </r>
  <r>
    <n v="47"/>
    <s v="Dr. Rajesh Kumar"/>
    <s v="Department of Physics"/>
    <s v="Indian Institute of Technology Roorkee"/>
    <s v="rajesh.kumar@bt.iitr.ac.in"/>
    <x v="2"/>
    <s v="TG3:WaveguideandIntegratedQuantumPhotonics"/>
    <s v="MPI"/>
    <e v="#N/A"/>
    <x v="1"/>
  </r>
  <r>
    <n v="48"/>
    <s v="Dr. Rakesh Kumar Palani"/>
    <s v="Department of Electrical Engineering"/>
    <s v="Indian Institute of Technology Delhi"/>
    <s v="palanirakesh@gmail.com"/>
    <x v="1"/>
    <s v="TG 3 Design and Demonstration of a Highly Scalable Quantum Computer using Semiconducting Qubits"/>
    <s v="MPI"/>
    <e v="#N/A"/>
    <x v="1"/>
  </r>
  <r>
    <n v="49"/>
    <s v="Dr. Rejish Nath Gopinathan Rejani"/>
    <s v="Department of Physics"/>
    <s v="Indian Institute of Science Education and Research Pune"/>
    <s v="rejish@iiserpune.ac.in"/>
    <x v="1"/>
    <s v="TG 6 Quantum Computing with Neutral Atoms, Trapped Ions and Related Hybrid Systems"/>
    <s v="MPI"/>
    <s v="rejish@iiserpune.ac.in"/>
    <x v="1"/>
  </r>
  <r>
    <n v="50"/>
    <s v="Dr. Rituraj"/>
    <s v="Department of Electrical Engineering"/>
    <s v="Indian Institute of Technology Kanpur"/>
    <s v="rituraj@iitk.ac.in"/>
    <x v="0"/>
    <s v="TG 2 Saikat Ghosh"/>
    <s v="MPI"/>
    <s v="rituraj@iitk.ac.in"/>
    <x v="1"/>
  </r>
  <r>
    <n v="51"/>
    <s v="Dr. Rohit Chaurasiya"/>
    <s v="Department of Electrical Engineering"/>
    <s v="Indian Institute of Technology Jammu"/>
    <s v="rohit.chaurasiya@iitjammu.ac.in"/>
    <x v="3"/>
    <s v="TAHQEECAT"/>
    <s v="MPI"/>
    <s v="rohit.chaurasiya@iitjammu.ac.in"/>
    <x v="1"/>
  </r>
  <r>
    <n v="52"/>
    <s v="Dr. Sai Vinjanampathy"/>
    <s v="Department of Physics"/>
    <s v="Indian Institute of Technology Bombay"/>
    <s v="sai@quantumlah.org"/>
    <x v="1"/>
    <s v="TG 5 Quantum computers with Superconducting Qubits"/>
    <s v="MPI"/>
    <e v="#N/A"/>
    <x v="1"/>
  </r>
  <r>
    <n v="53"/>
    <s v="Dr. Saikat Ghosh"/>
    <s v="Department of Physics"/>
    <s v="Indian Institute of Technology Kanpur"/>
    <s v="gsaikat@iitk.ac.in"/>
    <x v="0"/>
    <s v="TG 2 Saikat Ghosh"/>
    <s v=" "/>
    <s v="gsaikat@iitk.ac.in"/>
    <x v="1"/>
  </r>
  <r>
    <n v="54"/>
    <s v="Dr. Sandeep Kumar Goyal"/>
    <s v="Department of Physical Sciences"/>
    <s v="Indian Institute of Science Education and Research Mohali"/>
    <s v="skgoyal@iisermohali.ac.in"/>
    <x v="3"/>
    <s v="QuePRAN"/>
    <s v="MPI"/>
    <s v="skgoyal@iisermohali.ac.in"/>
    <x v="1"/>
  </r>
  <r>
    <n v="55"/>
    <s v="Dr. Sandeep Kumar Singh "/>
    <s v="Department of Electronics and Communication Engineering"/>
    <s v="Indian Institute of Technology Roorkee"/>
    <s v="sandeep.singh@ece.iitr.ac.in"/>
    <x v="3"/>
    <s v="TAHQEECAT"/>
    <s v="MPI"/>
    <e v="#N/A"/>
    <x v="0"/>
  </r>
  <r>
    <n v="56"/>
    <s v="Dr. Sanjib Dey"/>
    <s v="Department of Physics"/>
    <s v="Birla Institute of Technology and Science Pilani, Goa"/>
    <s v="sanjibd@goa.bits-pilani.ac.in"/>
    <x v="0"/>
    <s v="TG 2 Saikat Ghosh"/>
    <s v="MPI"/>
    <s v="sanjibd@goa.bits-pilani.ac.in"/>
    <x v="1"/>
  </r>
  <r>
    <n v="57"/>
    <s v="Dr. Santanu Talukder"/>
    <s v="Department of Electrical Engineering and Computer Science"/>
    <s v="Indian Institute of Science Education and Research Bhopal"/>
    <s v="santanu@iiserb.ac.in"/>
    <x v="0"/>
    <s v="TG 1 Kasturi Saha"/>
    <s v="MPI"/>
    <s v="santanu@iiserb.ac.in"/>
    <x v="1"/>
  </r>
  <r>
    <n v="58"/>
    <s v="Dr. Sapam Ranjita Chanu"/>
    <s v="Department of Physics CELP"/>
    <s v="Indian Institute of Technology Kanpur"/>
    <s v="sranjita@iitk.ac.in"/>
    <x v="1"/>
    <s v="TG 6 Quantum Computing with Neutral Atoms, Trapped Ions and Related Hybrid Systems"/>
    <s v="MPI"/>
    <e v="#N/A"/>
    <x v="0"/>
  </r>
  <r>
    <n v="59"/>
    <s v="Dr. Saptarishi Chaudhuri"/>
    <s v="Department of Light and Matter Physics"/>
    <s v="Raman Research Institute"/>
    <s v="srishic@rri.res.in"/>
    <x v="1"/>
    <s v="TG 6 Quantum Computing with Neutral Atoms, Trapped Ions and Related Hybrid Systems"/>
    <s v="LPI"/>
    <s v="srishic@rri.res.in"/>
    <x v="1"/>
  </r>
  <r>
    <n v="60"/>
    <s v="Dr. Sarani Bhattacharya"/>
    <s v="Department of Computer Science and Engineering"/>
    <s v="Indian Institute of Technology Kharagpur"/>
    <s v="sarani@cse.iitkgp.ac.in"/>
    <x v="3"/>
    <s v="PIPETA: Post Quantum Cryptography"/>
    <s v="MPI"/>
    <e v="#N/A"/>
    <x v="1"/>
  </r>
  <r>
    <n v="61"/>
    <s v="Dr. Saravana Kumar M"/>
    <s v="Department of Electronics &amp; Communication Engineering"/>
    <s v="Indian Institute of Technology Roorkee"/>
    <s v="saravana.kumar@ece.iitr.ac.in"/>
    <x v="1"/>
    <s v="TG 3 Design and Demonstration of a Highly Scalable Quantum Computer using Semiconducting Qubits"/>
    <s v="MPI"/>
    <s v="saravana.kumar@ece.iitr.ac.in"/>
    <x v="1"/>
  </r>
  <r>
    <n v="62"/>
    <s v="Dr. Sayan Choudhury"/>
    <s v="Department of Physics"/>
    <s v="Harish Chandra Research Institute, Prayagraj"/>
    <s v="sayanchoudhury@hri.res.in"/>
    <x v="0"/>
    <s v="TG 2 Saikat Ghosh"/>
    <s v="MPI"/>
    <e v="#N/A"/>
    <x v="0"/>
  </r>
  <r>
    <n v="63"/>
    <s v="Dr. Senthil Kumar M"/>
    <s v="ISRO"/>
    <s v="Space Application Centre, ISRO"/>
    <s v="senthil@sac.isro.gov.in"/>
    <x v="3"/>
    <s v="SBQKD - ISRO"/>
    <s v="LPI"/>
    <e v="#N/A"/>
    <x v="1"/>
  </r>
  <r>
    <n v="64"/>
    <s v="Dr. Shilpi Gupta"/>
    <s v="Department of Electrical Engineering"/>
    <s v="Indian Institute of Technology Kanpur"/>
    <s v="shilpig@iitk.ac.in"/>
    <x v="0"/>
    <s v="TG 2 Saikat Ghosh"/>
    <s v="MPI"/>
    <e v="#N/A"/>
    <x v="0"/>
  </r>
  <r>
    <n v="65"/>
    <s v="Dr. Siddharth Tallur"/>
    <s v="Department of Electrical Engineering"/>
    <s v="Indian Institute of Technology Bombay"/>
    <s v="stallur@ee.iitb.ac.in"/>
    <x v="0"/>
    <s v="TG 1 Kasturi Saha"/>
    <s v="MPI"/>
    <s v="stallur@ee.iitb.ac.in"/>
    <x v="1"/>
  </r>
  <r>
    <n v="66"/>
    <s v="Dr. Sourav Dutta"/>
    <s v="Department of Nuclear and Atomic Physics"/>
    <s v="Tata Institute of Fundamental Research Mumbai"/>
    <s v="sourav.dutta.mr@gmail.com"/>
    <x v="0"/>
    <s v="TG 2 Saikat Ghosh"/>
    <s v="MPI"/>
    <s v="sourav.dutta.mr@gmail.com"/>
    <x v="1"/>
  </r>
  <r>
    <n v="67"/>
    <s v="Dr. Suddhasatta Mahapatra"/>
    <s v="Department of Physics"/>
    <s v="Indian Institute of Technology Bombay"/>
    <s v="suddhasatta.mahapatra@gmail.com"/>
    <x v="1"/>
    <s v="TG 4 Development of a 50-qubit quantum information processor with electron spins in silicon"/>
    <s v="LPI"/>
    <e v="#N/A"/>
    <x v="0"/>
  </r>
  <r>
    <n v="68"/>
    <s v="Dr. Sudharsanan Srinivasan"/>
    <s v="Department of Electrical Engineering"/>
    <s v="Indian Institute of Technology Madras"/>
    <s v="sudharsanan@ee.iitm.ac.in"/>
    <x v="0"/>
    <s v="TG 1 Kasturi Saha"/>
    <s v="MPI"/>
    <e v="#N/A"/>
    <x v="0"/>
  </r>
  <r>
    <n v="69"/>
    <s v="Dr. Sudipta Dubey"/>
    <s v="Department of Physics"/>
    <s v="Indian Institute of Technology Kanpur"/>
    <s v="sudiptad@iitk.ac.in"/>
    <x v="2"/>
    <s v="TG2: Wafer-scale Emitter and Detector Arrays for Multi-wavelength RoomTemperature Photonic Quantum Technologie"/>
    <s v="MPI"/>
    <s v="sudiptad@iitk.ac.in"/>
    <x v="1"/>
  </r>
  <r>
    <n v="70"/>
    <s v="Dr. Sumit Gautam"/>
    <s v="Department of Electrical Engineering"/>
    <s v="Indian Institute of Technology Indore"/>
    <s v="sumit.gautam@iiti.ac.in"/>
    <x v="4"/>
    <s v=" "/>
    <s v=" "/>
    <e v="#N/A"/>
    <x v="0"/>
  </r>
  <r>
    <n v="71"/>
    <s v="Dr. Tanmoy Basu"/>
    <s v="Centre for Quantum Engineering Research and Education"/>
    <s v="TCG Centres for Research and Education in Science and Technology"/>
    <s v="tanmoy.basu@tcgcrest.org"/>
    <x v="0"/>
    <s v="TG 1 Kasturi Saha"/>
    <s v="MPI"/>
    <s v="tanmoy.basu@tcgcrest.org"/>
    <x v="1"/>
  </r>
  <r>
    <n v="72"/>
    <s v="Dr. Uditendu Mukhopadhyay"/>
    <s v="Department of Physics"/>
    <s v="Indian Institute of Technology Bombay"/>
    <s v="uditendu.mukhopadhyay@gmail.com"/>
    <x v="1"/>
    <s v="TG 4 Development of a 50-qubit quantum information processor with electron spins in silicon"/>
    <s v="MPI"/>
    <e v="#N/A"/>
    <x v="1"/>
  </r>
  <r>
    <n v="73"/>
    <s v="Dr. Utpal Roy"/>
    <s v="Department of Physics"/>
    <s v="Indian Institute of Technology Patna"/>
    <s v="uroy@iitp.ac.in"/>
    <x v="1"/>
    <s v="TG 6 Quantum Computing with Neutral Atoms, Trapped Ions and Related Hybrid Systems"/>
    <s v="MPI"/>
    <s v="uroy@iitp.ac.in"/>
    <x v="1"/>
  </r>
  <r>
    <n v="74"/>
    <s v="Dr. Veeresh Vidyadhar Deshpande"/>
    <s v="Department of Electrical Engineering"/>
    <s v="Indian Institute of Technology Bombay"/>
    <s v="veeresh@iitb.ac.in"/>
    <x v="5"/>
    <s v="TG 5 Quantum computers with Superconducting Qubits"/>
    <s v="MPI"/>
    <s v="veeresh@iitb.ac.in"/>
    <x v="1"/>
  </r>
  <r>
    <n v="75"/>
    <s v="Dr. Vemuru Subrahmanyam"/>
    <s v="School of Physics"/>
    <s v="University of Hyderabad"/>
    <s v="vmanisp@uohyd.ac.in"/>
    <x v="0"/>
    <s v="TG 2 Saikat Ghosh"/>
    <s v="MPI"/>
    <s v="vmanisp@uohyd.ac.in"/>
    <x v="1"/>
  </r>
  <r>
    <n v="76"/>
    <s v="Dr. Venkata Jayasurya Yallapragada"/>
    <s v="Department of Physics"/>
    <s v="Indian Institute of Technology Kanpur"/>
    <s v="jayasurya@iitk.ac.in"/>
    <x v="0"/>
    <s v="TG 3 Anand Jha"/>
    <s v="MPI"/>
    <s v="jayasurya@iitk.ac.in"/>
    <x v="1"/>
  </r>
  <r>
    <n v="77"/>
    <s v="Dr. Vibhor Singh"/>
    <s v="Department of Physics"/>
    <s v="Indian Institute of Science Bangalore"/>
    <s v="v.singh@iisc.ac.in"/>
    <x v="1"/>
    <s v="TG 5 Quantum computers with Superconducting Qubits"/>
    <s v="MPI"/>
    <s v="v.singh@iisc.ac.in"/>
    <x v="1"/>
  </r>
  <r>
    <n v="78"/>
    <s v="Dr. Vidya Praveen Bhallamudi"/>
    <s v="Department of Physics"/>
    <s v="Indian Institute of Technology Madras"/>
    <s v="praveen.bhallamudi@iitm.ac.in"/>
    <x v="0"/>
    <s v="TG 1 Kasturi Saha"/>
    <s v="MPI"/>
    <s v="praveen.bhallamudi@iitm.ac.in"/>
    <x v="1"/>
  </r>
  <r>
    <n v="79"/>
    <s v="Dr. Vini Gautam"/>
    <s v="Centre for Nano Science and Engineering"/>
    <s v="Indian Institute of Science Bangalore"/>
    <s v="vini@iisc.ac.in"/>
    <x v="0"/>
    <s v="TG 1 Kasturi Saha"/>
    <s v="MPI"/>
    <e v="#N/A"/>
    <x v="0"/>
  </r>
  <r>
    <n v="80"/>
    <s v="Dr. Vishal Ranjan"/>
    <m/>
    <s v="Tata Institute of Fundamental Research Hyderabad"/>
    <s v="vranjan@tifrh.res.in"/>
    <x v="1"/>
    <s v="TG 5 Quantum computers with Superconducting Qubits"/>
    <s v="MPI"/>
    <e v="#N/A"/>
    <x v="0"/>
  </r>
  <r>
    <n v="81"/>
    <s v="Dr. Vishvendra Singh Poonia"/>
    <s v="Department of Electronics &amp; Communication Engineering"/>
    <s v="Indian Institute of Technology Roorkee"/>
    <s v="vishvendra@ece.iitr.ac.in"/>
    <x v="1"/>
    <s v="TG 3 Design and Demonstration of a Highly Scalable Quantum Computer using Semiconducting Qubits"/>
    <s v="MPI"/>
    <s v="vishvendra@ece.iitr.ac.in"/>
    <x v="1"/>
  </r>
  <r>
    <n v="82"/>
    <s v="Dr. Vishwa Pal"/>
    <s v="Department of Physics"/>
    <s v="Indian Institute of Technology Ropar"/>
    <s v="vishwa.pal@iitrpr.ac.in"/>
    <x v="0"/>
    <s v="TG 3 Anand Jha"/>
    <s v="MPI"/>
    <s v="vishwa.pal@iitrpr.ac.in"/>
    <x v="1"/>
  </r>
  <r>
    <n v="83"/>
    <s v="Dr.Veeresh Vidyadhar Deshpande"/>
    <s v="Department of Electrical Engineering"/>
    <s v="Indian Institute of Technology Bombay"/>
    <s v="deshveeresh@gmail.com"/>
    <x v="0"/>
    <s v="TG 1 Kasturi Saha"/>
    <s v="MPI"/>
    <e v="#N/A"/>
    <x v="0"/>
  </r>
  <r>
    <n v="84"/>
    <s v="Er. Adarsh Jain"/>
    <s v="Quantum Systems Technology Division"/>
    <s v="Space Application Centre, ISRO"/>
    <m/>
    <x v="3"/>
    <s v="TG 5: Satellite based Quantum Key Distribution"/>
    <s v="MPI"/>
    <e v="#N/A"/>
    <x v="0"/>
  </r>
  <r>
    <n v="85"/>
    <s v="Er. Chandra Prakash Sharma"/>
    <s v="Quantum Technology Group"/>
    <s v="Space Application Centre, ISRO"/>
    <m/>
    <x v="3"/>
    <s v="TG 5: Satellite based Quantum Key Distribution"/>
    <s v="MPI"/>
    <e v="#N/A"/>
    <x v="0"/>
  </r>
  <r>
    <n v="86"/>
    <s v="Er. K Kalpana"/>
    <s v="Opto Quantum Communication Program"/>
    <s v="ISRO Satellite Center"/>
    <m/>
    <x v="3"/>
    <s v="TG 5: Satellite based Quantum Key Distribution"/>
    <s v="MPI"/>
    <e v="#N/A"/>
    <x v="0"/>
  </r>
  <r>
    <n v="87"/>
    <s v="Er. Pankaj Kumar Gupta"/>
    <s v="Quantum Electronics and Photonics Division"/>
    <s v="Space Application Centre, ISRO"/>
    <m/>
    <x v="3"/>
    <s v="TG 5: Satellite based Quantum Key Distribution"/>
    <s v="MPI"/>
    <e v="#N/A"/>
    <x v="0"/>
  </r>
  <r>
    <n v="88"/>
    <s v="Mr. Aneesh Kumar K B"/>
    <s v="Department of Cyber Security"/>
    <s v="Centre for Development of Advanced Computing, Thiruvananthapuram"/>
    <s v="aneesh_kb@cdac.in"/>
    <x v="3"/>
    <s v="QuILA"/>
    <s v="MPI"/>
    <e v="#N/A"/>
    <x v="0"/>
  </r>
  <r>
    <n v="89"/>
    <s v="Mr. Deepak Gaur"/>
    <s v="TSOC and PQC Group"/>
    <s v="Centre for Development of Telematics"/>
    <s v="dgaur@cdot.in"/>
    <x v="3"/>
    <s v="PIPETA: Post Quantum Cryptography"/>
    <s v="LPI"/>
    <s v="dgaur@cdot.in"/>
    <x v="1"/>
  </r>
  <r>
    <n v="90"/>
    <s v="Mr. Hari Babu Pasupuleti"/>
    <s v="Quantum Technologies"/>
    <s v="Centre for Development of Advanced Computing, Bangalore"/>
    <s v="hari@cdac.in"/>
    <x v="1"/>
    <s v="TG 1 Photonics quantum processor development"/>
    <s v="MPI"/>
    <e v="#N/A"/>
    <x v="0"/>
  </r>
  <r>
    <n v="91"/>
    <s v="Mr. Prashant Chugh"/>
    <s v="TSOC and PQC Group"/>
    <s v="Centre for Development of Telematics"/>
    <s v="prashant@cdot.in"/>
    <x v="3"/>
    <s v="PIPETA: Post Quantum Cryptography"/>
    <s v="LPI"/>
    <s v="prashant@cdot.in"/>
    <x v="1"/>
  </r>
  <r>
    <n v="92"/>
    <s v="Mr. S Henry Sukumar"/>
    <s v="Quantum Technology Group"/>
    <s v="Centre for Development of Advanced Computing, Bangalore"/>
    <s v="henrys@cdac.in"/>
    <x v="1"/>
    <s v="TG 2 Programmable photonic quantum computing using qubits encoded in different degrees of freedom of a photon"/>
    <s v="MPI"/>
    <s v="henrys@cdac.in"/>
    <x v="1"/>
  </r>
  <r>
    <n v="93"/>
    <s v="Mr. Vaibhav Pratap Singh"/>
    <s v="Quantum Technology Group"/>
    <s v="Centre for Development of Advanced Computing, Bangalore"/>
    <s v="svaibhav@cdac.in"/>
    <x v="1"/>
    <s v="TG 1 Photonics quantum processor development"/>
    <s v="MPI"/>
    <s v="svaibhav@cdac.in"/>
    <x v="1"/>
  </r>
  <r>
    <n v="94"/>
    <s v="Prof. Abhisek Dixit"/>
    <s v="Department of Electrical Engineering"/>
    <s v="Indian Institute of Technology Delhi"/>
    <s v="abhisek.dixit@gmail.com"/>
    <x v="1"/>
    <s v="TG 3 Design and Demonstration of a Highly Scalable Quantum Computer using Semiconducting Qubits"/>
    <s v="LPI"/>
    <e v="#N/A"/>
    <x v="1"/>
  </r>
  <r>
    <n v="95"/>
    <s v="Prof. Aditi Sen De"/>
    <s v="Department of Physics"/>
    <s v="Harish Chandra Research Institute, Prayagraj"/>
    <s v="aditi@hri.res.in"/>
    <x v="3"/>
    <s v="QuePRAN"/>
    <s v="MPI"/>
    <e v="#N/A"/>
    <x v="0"/>
  </r>
  <r>
    <n v="96"/>
    <s v="Prof. Ajay Wasan"/>
    <s v="Department of Physics"/>
    <s v="Indian Institute of Technology Roorkee"/>
    <s v="awasan@ph.iitr.ac.in"/>
    <x v="1"/>
    <s v="TG 6 Quantum Computing with Neutral Atoms, Trapped Ions and Related Hybrid Systems"/>
    <s v="MPI"/>
    <s v="awasan@ph.iitr.ac.in"/>
    <x v="1"/>
  </r>
  <r>
    <n v="97"/>
    <s v="Prof. Ambarish Ghosh"/>
    <s v="Centre for Nano Science and Engineering"/>
    <s v="Indian Institute of Science Bangalore"/>
    <s v="ambarish@iisc.ac.in"/>
    <x v="0"/>
    <s v="TG 1 Kasturi Saha"/>
    <s v="MPI"/>
    <s v="ambarish@iisc.ac.in"/>
    <x v="1"/>
  </r>
  <r>
    <n v="98"/>
    <s v="Prof. Amrita Bhattacharya"/>
    <s v="Department of Metallurgical Engineering and Materials Science"/>
    <s v="Indian Institute of Technology Bombay"/>
    <s v="b_amrita@iitb.ac.in"/>
    <x v="2"/>
    <s v="TG2: Wafer-scale Emitter and Detector Arrays for Multi-wavelength RoomTemperature Photonic Quantum Technologies"/>
    <s v="MPI"/>
    <e v="#N/A"/>
    <x v="0"/>
  </r>
  <r>
    <n v="99"/>
    <s v="Prof. Anand Kumar Jha"/>
    <s v="Department of Physics"/>
    <s v="Indian Institute of Technology Kanpur"/>
    <s v="akjha@iitk.ac.in"/>
    <x v="0"/>
    <s v="TG 3 Anand Jha"/>
    <s v="LPI"/>
    <s v="akjha@iitk.ac.in"/>
    <x v="1"/>
  </r>
  <r>
    <n v="100"/>
    <s v="Prof. Anil Prabhakar"/>
    <s v="Department of Electrical Engineering"/>
    <s v="Indian Institute of Technology Madras"/>
    <s v="anil@ee.iitm.ac.in"/>
    <x v="3"/>
    <s v="QuILA"/>
    <s v="LPI"/>
    <s v="anil@ee.iitm.ac.in"/>
    <x v="1"/>
  </r>
  <r>
    <n v="101"/>
    <s v="Prof. Anirban Pathak"/>
    <s v="Department of Physics and Materials Science Engineering"/>
    <s v="Jaypee Institute of Information Technology"/>
    <s v="anirban.pathak@jiit.ac.in"/>
    <x v="1"/>
    <s v="TG 2 Programmable photonic quantum computing using qubits encoded in different degrees of freedom of a photon"/>
    <s v="MPI"/>
    <e v="#N/A"/>
    <x v="1"/>
  </r>
  <r>
    <n v="102"/>
    <s v="Prof. Ankesh Jain"/>
    <s v="Department of Electrical Engineering"/>
    <s v="Indian Institute of Technology Delhi"/>
    <s v="ankesh@ee.iitd.ac.in"/>
    <x v="1"/>
    <s v="TG 3 Design and Demonstration of a Highly Scalable Quantum Computer using Semiconducting Qubits"/>
    <s v="MPI"/>
    <s v="ankesh@ee.iitd.ac.in"/>
    <x v="1"/>
  </r>
  <r>
    <n v="103"/>
    <s v="Prof. Ankur Gupta"/>
    <s v="Centre for Applied Research in Electronics (CARE)"/>
    <s v="Indian Institute of Technology Delhi"/>
    <s v="ankurgupta@care.iitd.ac.in"/>
    <x v="2"/>
    <s v="TG1: Development ofOn-DemandSinglePhotonEmitters, SinglePhotonAvalancheDetectors,High-FrequencyDevices andInP-BasedEpitaxialSemiconductors"/>
    <s v="MPI"/>
    <e v="#N/A"/>
    <x v="0"/>
  </r>
  <r>
    <n v="104"/>
    <s v="Prof. Apoorva Dayaram Patel"/>
    <s v="Centre for High Energy Physics"/>
    <s v="Indian Institute of Science Bangalore"/>
    <s v="adpatel@iisc.ac.in"/>
    <x v="1"/>
    <s v="TG 1 Photonics quantum processor development"/>
    <s v="MPI"/>
    <s v="adpatel@iisc.ac.in"/>
    <x v="1"/>
  </r>
  <r>
    <n v="105"/>
    <s v="Prof. Ashish Arora"/>
    <s v="Department of Physics"/>
    <s v="Indian Institute of Science Education and Research Pune"/>
    <s v="ashish.arora@iiserpune.ac.in"/>
    <x v="2"/>
    <s v="TG2: Wafer-scale Emitter and Detector Arrays for Multi-wavelength RoomTemperature Photonic Quantum Technologies"/>
    <s v="MPI"/>
    <s v="ashish.arora@iiserpune.ac.in"/>
    <x v="1"/>
  </r>
  <r>
    <n v="106"/>
    <s v="Prof. Avinash Lahgere"/>
    <s v="Department of Electrical Engineering"/>
    <s v="Indian Institute of Technology Kanpur"/>
    <s v="alahgere@iitk.ac.in"/>
    <x v="1"/>
    <s v="TG 3 Design and Demonstration of a Highly Scalable Quantum Computer using Semiconducting Qubits"/>
    <s v=" "/>
    <s v="alahgere@iitk.ac.in"/>
    <x v="1"/>
  </r>
  <r>
    <n v="107"/>
    <s v="Prof. Avirup Dasgupta"/>
    <s v="Department of Electronics and Communication Engineering"/>
    <s v="Indian Institute of Technology Roorkee"/>
    <s v="avirup@ece.iitr.ac.in"/>
    <x v="1"/>
    <s v="TG 3 Design and Demonstration of a Highly Scalable Quantum Computer using Semiconducting Qubits"/>
    <s v="MPI"/>
    <e v="#N/A"/>
    <x v="0"/>
  </r>
  <r>
    <n v="108"/>
    <s v="Prof. Bhaskaran Muralidharan"/>
    <s v="Department of Electrical Engineering"/>
    <s v="Indian Institute of Technology Bombay"/>
    <s v="bm@ee.iitb.ac.in"/>
    <x v="2"/>
    <s v="TG2: Wafer-scale Emitter and Detector Arrays for Multi-wavelength RoomTemperature Photonic Quantum Technologies"/>
    <s v="MPI"/>
    <e v="#N/A"/>
    <x v="0"/>
  </r>
  <r>
    <n v="109"/>
    <s v="Prof. Chandrashekar C M"/>
    <s v="Department of Electronic Systems Engineering"/>
    <s v="Indian Institute of Science Bangalore"/>
    <s v="chandracm@iisc.ac.in"/>
    <x v="1"/>
    <s v="TG 2 Programmable photonic quantum computing using qubits encoded in different degrees of freedom of a photon"/>
    <s v="LPI"/>
    <s v="chandracm@iisc.ac.in"/>
    <x v="1"/>
  </r>
  <r>
    <n v="110"/>
    <s v="Prof. Chetan Singh Thakur"/>
    <s v="Department of Electronic Systems Engineering"/>
    <s v="Indian Institute of Science Bangalore"/>
    <s v="csthakur@iisc.ac.in"/>
    <x v="1"/>
    <s v="TG 5 Quantum computers with Superconducting Qubits"/>
    <s v="MPI"/>
    <s v="csthakur@iisc.ac.in"/>
    <x v="1"/>
  </r>
  <r>
    <n v="111"/>
    <s v="Prof. Darshak Bhatt"/>
    <s v="Department of Electronics &amp; Communication Engineering"/>
    <s v="Indian Institute of Technology Roorkee"/>
    <s v="darshak.bhatt@ece.iitr.ac.in"/>
    <x v="1"/>
    <s v="TG 3 Design and Demonstration of a Highly Scalable Quantum Computer using Semiconducting Qubits"/>
    <s v="MPI"/>
    <s v="darshak.bhatt@ece.iitr.ac.in"/>
    <x v="1"/>
  </r>
  <r>
    <n v="112"/>
    <s v="Prof. Deepa Venkitesh"/>
    <s v="Department of Electrical Engineering"/>
    <s v="Indian Institute of Technology Madras"/>
    <s v="deepa@ee.iitm.ac.in"/>
    <x v="4"/>
    <s v=" "/>
    <s v=" "/>
    <e v="#N/A"/>
    <x v="0"/>
  </r>
  <r>
    <n v="113"/>
    <s v="Prof. Devarshi Mrinal Das"/>
    <s v="Department of Electrical Engineering"/>
    <s v="Indian Institute of Technology Ropar"/>
    <s v="_x000a_devarshi.das@iitrpr.ac.in"/>
    <x v="1"/>
    <s v="TG 3 Design and Demonstration of a Highly Scalable Quantum Computer using Semiconducting Qubits"/>
    <s v="MPI"/>
    <e v="#N/A"/>
    <x v="1"/>
  </r>
  <r>
    <n v="114"/>
    <s v="Prof. Dibyajyoti Ghosh"/>
    <s v="Department of Materials Science and Engineering &amp; Department of Chemistry"/>
    <s v="Indian Institute of Technology Delhi"/>
    <s v="dibyajyoti@mse.iitd.ac.in"/>
    <x v="2"/>
    <s v="TG1: Development ofOn-DemandSinglePhotonEmitters, SinglePhotonAvalancheDetectors,High-FrequencyDevices andInP-BasedEpitaxialSemiconductors"/>
    <s v="MPI"/>
    <e v="#N/A"/>
    <x v="1"/>
  </r>
  <r>
    <n v="115"/>
    <s v="Prof. Dipankar Saha"/>
    <s v="Department of Electrical Engineering"/>
    <s v="Indian Institute of Technology Bombay"/>
    <s v="dsaha@ee.iitb.ac.in"/>
    <x v="2"/>
    <s v="TG1: Development ofOn-DemandSinglePhotonEmitters,_x000a_SinglePhotonAvalancheDetectors,High-FrequencyDevices_x000a_andInP-BasedEpitaxialSemiconductors"/>
    <s v="MPI"/>
    <e v="#N/A"/>
    <x v="0"/>
  </r>
  <r>
    <n v="116"/>
    <s v="Prof. Gopalan Rajaraman "/>
    <s v="Department of Chemistry"/>
    <s v="Indian Institute of Technology Bombay"/>
    <s v="rajaraman@chem.iitb.ac.in"/>
    <x v="2"/>
    <s v="TG2: Wafer-scale Emitter and Detector Arrays for Multi-wavelength RoomTemperature Photonic Quantum Technologies"/>
    <s v=" "/>
    <s v="rajaraman@chem.iitb.ac.in"/>
    <x v="1"/>
  </r>
  <r>
    <n v="117"/>
    <s v="Prof. Harshwardhan Wanare"/>
    <s v="Department of Physics"/>
    <s v="Indian Institute of Technology Kanpur"/>
    <s v="hwanare@iitk.ac.in"/>
    <x v="0"/>
    <s v="TG 3 Anand Jha"/>
    <s v="MPI"/>
    <e v="#N/A"/>
    <x v="0"/>
  </r>
  <r>
    <n v="118"/>
    <s v="Prof. Jaydeep Kumar Basu"/>
    <s v="Department of Physics"/>
    <s v="Indian Institute of Science Bangalore"/>
    <s v="basu@iisc.ac.in"/>
    <x v="1"/>
    <s v="TG 1 Photonics quantum processor development"/>
    <s v="MPI"/>
    <s v="basu@iisc.ac.in"/>
    <x v="1"/>
  </r>
  <r>
    <n v="119"/>
    <s v="Prof. Jayeeta Bhattacharyya"/>
    <s v="Department of Physics"/>
    <s v="Indian Institute of Technology Madras"/>
    <s v="jayeeta@iitm.ac.in"/>
    <x v="2"/>
    <s v="TG1: Development ofOn-DemandSinglePhotonEmitters, SinglePhotonAvalancheDetectors,High-FrequencyDevices andInP-BasedEpitaxialSemiconductors"/>
    <s v="MPI"/>
    <e v="#N/A"/>
    <x v="0"/>
  </r>
  <r>
    <n v="120"/>
    <s v="Prof. Karun Rawat"/>
    <s v="Department of Electronics &amp; Communication Engineering"/>
    <s v="Indian Institute of Technology Roorkee"/>
    <s v="karun.rawat@ece.iitr.ac.in"/>
    <x v="2"/>
    <s v="TG1: Development ofOn-DemandSinglePhotonEmitters, SinglePhotonAvalancheDetectors,High-FrequencyDevices andInP-BasedEpitaxialSemiconductors"/>
    <s v="MPI"/>
    <s v="karun.rawat@ece.iitr.ac.in"/>
    <x v="1"/>
  </r>
  <r>
    <n v="121"/>
    <s v="Prof. Kausik Majumdar"/>
    <s v="Department of Electrical and Communication Engineering"/>
    <s v="Indian Institute of Science Bangalore"/>
    <s v="kausikm@iisc.ac.in"/>
    <x v="1"/>
    <s v="TG 1 Photonics quantum processor development"/>
    <s v="MPI"/>
    <s v="kausikm@iisc.ac.in"/>
    <x v="1"/>
  </r>
  <r>
    <n v="122"/>
    <s v="Prof. Kedar Khare"/>
    <s v="Optics and Photonics Centre"/>
    <s v="Indian Institute of Technology Delhi"/>
    <s v="kedark@opc.iitd.ac.in"/>
    <x v="0"/>
    <s v="TG 3 Anand Jha"/>
    <s v="MPI"/>
    <s v="kedark@opc.iitd.ac.in"/>
    <x v="1"/>
  </r>
  <r>
    <n v="123"/>
    <s v="Prof. Kolin Paul"/>
    <s v="Department of Computer Science and Engineering"/>
    <s v="Indian Institute of Technology Delhi"/>
    <s v="kolin.paul@gmail.com"/>
    <x v="1"/>
    <s v="TG 3 Design and Demonstration of a Highly Scalable Quantum Computer using Semiconducting Qubits"/>
    <s v="MPI"/>
    <s v="kolin.paul@gmail.com"/>
    <x v="1"/>
  </r>
  <r>
    <n v="124"/>
    <s v="Prof. Krishna B Balasubramanian"/>
    <s v="Department of Material Science and Engineering"/>
    <s v="Indian Institute of Technology Delhi"/>
    <s v="bkrishna@mse.iitd.ac.in"/>
    <x v="2"/>
    <s v="TG2: Wafer-scale Emitter and Detector Arrays for Multi-wavelength RoomTemperature Photonic Quantum Technologies"/>
    <s v="MPI"/>
    <e v="#N/A"/>
    <x v="1"/>
  </r>
  <r>
    <n v="125"/>
    <s v="Prof. Krishna Jagannathan"/>
    <s v="Department of Electrical Engineering"/>
    <s v="Indian Institute of Technology Madras"/>
    <s v="krishnaj@ee.iitm.ac.in"/>
    <x v="4"/>
    <s v=" "/>
    <s v=" "/>
    <e v="#N/A"/>
    <x v="0"/>
  </r>
  <r>
    <n v="126"/>
    <s v="Prof. M S Ramachandra Rao"/>
    <s v="Department of Physics"/>
    <s v="Indian Institute of Technology Madras"/>
    <s v="msrrao@iitm.ac.in"/>
    <x v="0"/>
    <s v="TG 1 Kasturi Saha"/>
    <s v="MPI"/>
    <e v="#N/A"/>
    <x v="1"/>
  </r>
  <r>
    <n v="127"/>
    <s v="Prof. M V Panduranga Rao"/>
    <s v="Department of Computer Science and Engineering"/>
    <s v="Indian Institute of Technology Hyderabad"/>
    <s v="mvp@cse.iith.ac.in"/>
    <x v="3"/>
    <s v="QuILA"/>
    <s v="MPI"/>
    <e v="#N/A"/>
    <x v="1"/>
  </r>
  <r>
    <n v="128"/>
    <s v="Prof. Maniraj Mahalingam"/>
    <s v="Department of Physics"/>
    <s v="Indian Institute of Technology Bombay"/>
    <s v="maniraj@iitb.ac.in"/>
    <x v="2"/>
    <s v="TG2: Wafer-scale Emitter and Detector Arrays for Multi-wavelength RoomTemperature Photonic Quantum Technologies"/>
    <s v="MPI"/>
    <s v="maniraj@iitb.ac.in"/>
    <x v="1"/>
  </r>
  <r>
    <n v="129"/>
    <s v="Prof. Mukesh Kumar"/>
    <s v="Department of Electrical Engineering"/>
    <s v="Indian Institute of Technology Indore"/>
    <s v="mukesh.kr@iiti.ac.in"/>
    <x v="1"/>
    <s v="TG 1 Photonics quantum processor development"/>
    <s v="MPI"/>
    <s v="mukesh.kr@iiti.ac.in"/>
    <x v="1"/>
  </r>
  <r>
    <n v="130"/>
    <s v="Prof. Neeraj Goel"/>
    <s v="Department of Computer Science and Engineering"/>
    <s v="Indian Institute of Technology Ropar"/>
    <s v="neeraj@iitrpr.ac.in"/>
    <x v="1"/>
    <s v="TG 3 Design and Demonstration of a Highly Scalable Quantum Computer using Semiconducting Qubits"/>
    <s v="MPI"/>
    <s v="neeraj@iitrpr.ac.in"/>
    <x v="1"/>
  </r>
  <r>
    <n v="131"/>
    <s v="Prof. Nirat Ray"/>
    <s v="Department of Materials Science and Engineering"/>
    <s v="Indian Institute of Technology Delhi"/>
    <s v="nirat@mse.iitd.ac.in"/>
    <x v="2"/>
    <s v="TG1: Development ofOn-DemandSinglePhotonEmitters, SinglePhotonAvalancheDetectors,High-FrequencyDevices andInP-BasedEpitaxialSemiconductors"/>
    <s v="MPI"/>
    <e v="#N/A"/>
    <x v="0"/>
  </r>
  <r>
    <n v="132"/>
    <s v="Prof. Pintu Das"/>
    <s v="Department of Physics"/>
    <s v="Indian Institute of Technology Delhi"/>
    <s v="pintu@physics.iitd.ac.in"/>
    <x v="2"/>
    <s v="TG1: Development ofOn-DemandSinglePhotonEmitters, SinglePhotonAvalancheDetectors,High-FrequencyDevices andInP-BasedEpitaxialSemiconductors"/>
    <s v="MPI"/>
    <e v="#N/A"/>
    <x v="0"/>
  </r>
  <r>
    <n v="133"/>
    <s v="Prof. Pratap Raychaudhuri"/>
    <s v="Derpartment of Condensed Matter Physics and Material Science"/>
    <s v="Tata Institute of Fundamental Research Mumbai"/>
    <s v="pratap.raychaudhuri2020@gmail.com"/>
    <x v="0"/>
    <s v="TG 1 Kasturi Saha"/>
    <s v="MPI"/>
    <e v="#N/A"/>
    <x v="1"/>
  </r>
  <r>
    <n v="134"/>
    <s v="Prof. Praveen Kumar"/>
    <s v="School of Materials Sciences"/>
    <s v="Indian Association for the Cultivation of Science"/>
    <s v="praveen.kumar@iacs.res.in"/>
    <x v="2"/>
    <s v="TG2: Wafer-scale Emitter and Detector Arrays for Multi-wavelength RoomTemperature Photonic Quantum Technologies"/>
    <s v="MPI"/>
    <e v="#N/A"/>
    <x v="1"/>
  </r>
  <r>
    <n v="135"/>
    <s v="Prof. Preeti Ranjan Panda"/>
    <s v="Department of Computer Science and Engineering"/>
    <s v="Indian Institute of Technology Delhi"/>
    <s v="panda@cse.iitd.ac.in"/>
    <x v="1"/>
    <s v="TG 3 Design and Demonstration of a Highly Scalable Quantum Computer using Semiconducting Qubits"/>
    <s v="MPI"/>
    <e v="#N/A"/>
    <x v="0"/>
  </r>
  <r>
    <n v="136"/>
    <s v="Prof. Rahul Mishra"/>
    <s v="Centre for Applied Research in Electronics (CARE)"/>
    <s v="Indian Institute of Technology Delhi"/>
    <s v="ramis@care.iitd.ac.in"/>
    <x v="2"/>
    <s v="TG1: Development ofOn-DemandSinglePhotonEmitters, SinglePhotonAvalancheDetectors,High-FrequencyDevices andInP-BasedEpitaxialSemiconductors"/>
    <s v="MPI"/>
    <e v="#N/A"/>
    <x v="0"/>
  </r>
  <r>
    <n v="137"/>
    <s v="Prof. Rajan Jha"/>
    <s v="School of Basic Sciences"/>
    <s v="Indian Institute of Technology Bhubaneswar"/>
    <s v="rjha@iitbbs.ac.in"/>
    <x v="2"/>
    <s v="TG3:WaveguideandIntegratedQuantumPhotonics"/>
    <s v="MPI"/>
    <e v="#N/A"/>
    <x v="1"/>
  </r>
  <r>
    <n v="138"/>
    <s v="Prof. Rajendra Singh"/>
    <s v="Department of Physics"/>
    <s v="Indian Institute of Technology Delhi"/>
    <s v="Rajendra.Singh@physics.iitd.ac.in"/>
    <x v="2"/>
    <s v="TG 1 Development ofOn-DemandSinglePhotonEmitters,_x000a_SinglePhotonAvalancheDetectors,High-FrequencyDevices_x000a_andInP-BasedEpitaxialSemiconductors"/>
    <s v="LPI"/>
    <e v="#N/A"/>
    <x v="1"/>
  </r>
  <r>
    <n v="139"/>
    <s v="Prof. Ravi Pant"/>
    <s v="School of Physics"/>
    <s v="Indian Institute of Science Education and Research Thiruvananthapuram"/>
    <s v="rpant@iisertvm.ac.in"/>
    <x v="1"/>
    <s v="TG 1 Photonics quantum processor development"/>
    <s v="MPI"/>
    <s v="rpant@iisertvm.ac.in"/>
    <x v="1"/>
  </r>
  <r>
    <n v="140"/>
    <s v="Prof. Ravikiran Yeleswarapu"/>
    <s v="Department of Electrical and Electronics Engineering"/>
    <s v="Birla Institute of Technology and Science Pilani, Hyderabad Campus"/>
    <s v="ravikiran.y@hyderabad.bits-pilani.ac.in"/>
    <x v="1"/>
    <s v="TG 3 Design and Demonstration of a Highly Scalable Quantum Computer using Semiconducting Qubits"/>
    <s v="MPI"/>
    <s v="ravikiran.y@hyderabad.bits-pilani.ac.in"/>
    <x v="1"/>
  </r>
  <r>
    <n v="141"/>
    <s v="Prof. Samaresh Das"/>
    <s v="Centre for Applied Research in Electronics"/>
    <s v="Indian Institute of Technology Delhi"/>
    <s v="samaresh.das@gmail.com"/>
    <x v="1"/>
    <s v="TG 4 Development of a 50-qubit quantum information processor with electron spins in silicon"/>
    <s v="MPI"/>
    <e v="#N/A"/>
    <x v="1"/>
  </r>
  <r>
    <n v="142"/>
    <s v="Prof. Samit K Ray"/>
    <s v="Department of Physics"/>
    <s v="Indian Institute of Technology Kharagpur"/>
    <s v="physkr@phy.iitkgp.ac.in"/>
    <x v="2"/>
    <s v="TG1: Development ofOn-DemandSinglePhotonEmitters, SinglePhotonAvalancheDetectors,High-FrequencyDevices andInP-BasedEpitaxialSemiconductors"/>
    <s v="MPI"/>
    <e v="#N/A"/>
    <x v="0"/>
  </r>
  <r>
    <n v="143"/>
    <s v="Prof. Santanu Manna"/>
    <s v="Department of Electrical Engineering"/>
    <s v="Indian Institute of Technology Delhi"/>
    <s v="mannasan@ee.iitd.ac.in"/>
    <x v="2"/>
    <s v="TG 1 Development ofOn-DemandSinglePhotonEmitters,_x000a_SinglePhotonAvalancheDetectors,High-FrequencyDevices_x000a_andInP-BasedEpitaxialSemiconductors"/>
    <s v="MPI"/>
    <s v="mannasan@ee.iitd.ac.in"/>
    <x v="1"/>
  </r>
  <r>
    <n v="144"/>
    <s v="Prof. Saurabh Lodha"/>
    <s v="Department of Electrical Engineering"/>
    <s v="Indian Institute of Technology Bombay"/>
    <s v="slodha@ee.iitb.ac.in"/>
    <x v="2"/>
    <s v="TG2: Wafer-scale Emitter and Detector Arrays for Multi-wavelength RoomTemperature Photonic Quantum Technologies"/>
    <s v="LPI"/>
    <e v="#N/A"/>
    <x v="1"/>
  </r>
  <r>
    <n v="145"/>
    <s v="Prof. Shailendra K Varshney"/>
    <s v="Department of Electronics &amp; Electrical Communication Engineering"/>
    <s v="Indian Institute of Technology Kharagpur"/>
    <s v="skvarshney@ece.iitkgp.ac.in"/>
    <x v="2"/>
    <s v="TG3:WaveguideandIntegratedQuantumPhotonics"/>
    <s v="LPI"/>
    <s v="skvarshney@ece.iitkgp.ac.in"/>
    <x v="1"/>
  </r>
  <r>
    <n v="146"/>
    <s v="Prof. Shankar Kumar Selvaraja"/>
    <s v="Center for Nano Science and Engineering"/>
    <s v="Indian Institute of Science Bangalore"/>
    <s v="shankarks@iisc.ac.in"/>
    <x v="1"/>
    <s v="TG 1 Photonics quantum processor development"/>
    <s v="LPI"/>
    <s v="shankarks@iisc.ac.in"/>
    <x v="1"/>
  </r>
  <r>
    <n v="147"/>
    <s v="Prof. Shobhana Narasimhan"/>
    <s v="Theoretical Sciences Unit"/>
    <s v="Jawaharlal Nehru Centre for Advanced Scientific Research (JNCASR)"/>
    <s v="shobhana@jncasr.ac.in"/>
    <x v="1"/>
    <s v="TG 4 Development of a 50-qubit quantum information processor with electron spins in silicon"/>
    <s v="MPI"/>
    <e v="#N/A"/>
    <x v="0"/>
  </r>
  <r>
    <n v="148"/>
    <s v="Prof. Sudeb Dasgupta"/>
    <s v="Department of Electronics and Communication Engineering"/>
    <s v="Indian Institute of Technology Roorkee"/>
    <s v="sudebdg@gmail.com"/>
    <x v="1"/>
    <s v="TG 3 Design and Demonstration of a Highly Scalable Quantum Computer using Semiconducting Qubits"/>
    <s v="MPI"/>
    <e v="#N/A"/>
    <x v="0"/>
  </r>
  <r>
    <n v="149"/>
    <s v="Prof. Supravat Karak"/>
    <s v="Department of Energy Science and Engineering"/>
    <s v="Indian Institute of Technology Delhi"/>
    <s v="supravat@dese.iitd.ac.in"/>
    <x v="2"/>
    <s v="TG1: Development ofOn-DemandSinglePhotonEmitters, SinglePhotonAvalancheDetectors,High-FrequencyDevices andInP-BasedEpitaxialSemiconductors"/>
    <s v="MPI"/>
    <e v="#N/A"/>
    <x v="0"/>
  </r>
  <r>
    <n v="150"/>
    <s v="Prof. Swaroop Ganguly"/>
    <s v="Department of Electrical Engineering"/>
    <s v="Indian Institute of Technology Bombay"/>
    <s v="sganguly@ee.iitb.ac.in"/>
    <x v="2"/>
    <s v="TG 1 Development ofOn-DemandSinglePhotonEmitters,_x000a_SinglePhotonAvalancheDetectors,High-FrequencyDevices_x000a_andInP-BasedEpitaxialSemiconductors"/>
    <s v="MPI"/>
    <e v="#N/A"/>
    <x v="1"/>
  </r>
  <r>
    <n v="151"/>
    <s v="Prof. Tanushree H Choudhury"/>
    <s v="Department of Metallurgical Engineering and Materials Science"/>
    <s v="Indian Institute of Technology Bombay"/>
    <s v="tanuhc@iitb.ac.in"/>
    <x v="2"/>
    <s v="TG2: Wafer-scale Emitter and Detector Arrays for Multi-wavelength RoomTemperature Photonic Quantum Technologies"/>
    <s v="MPI"/>
    <e v="#N/A"/>
    <x v="0"/>
  </r>
  <r>
    <n v="152"/>
    <s v="Prof. Umakant Damodar Rapol"/>
    <s v="Department of Physics"/>
    <s v="Indian Institute of Science Education and Research Pune"/>
    <s v="umakant.rapol@iiserpune.ac.in"/>
    <x v="1"/>
    <s v="TG 6 Quantum Computing with Neutral Atoms, Trapped Ions and Related Hybrid Systems"/>
    <s v="MPI"/>
    <s v="umakant.rapol@iiserpune.ac.in"/>
    <x v="1"/>
  </r>
  <r>
    <n v="153"/>
    <s v="Prof. Urbasi Sinha"/>
    <s v="Department of Light and Matter Physics"/>
    <s v="Raman Research Institute"/>
    <s v="usinha@rri.res.in"/>
    <x v="3"/>
    <s v="QuePRAN"/>
    <s v="LPI"/>
    <s v="usinha@rri.res.in"/>
    <x v="1"/>
  </r>
  <r>
    <n v="154"/>
    <s v="Prof. Varun Raghunathan"/>
    <s v="Department of Electronics and Communication Engineering"/>
    <s v="Indian Institute of Science Bangalore"/>
    <s v="varunr@iisc.ac.in"/>
    <x v="3"/>
    <s v="QuILA"/>
    <s v="MPI"/>
    <s v="varunr@iisc.ac.in"/>
    <x v="1"/>
  </r>
  <r>
    <n v="155"/>
    <s v="Prof. Vimal Bhatia"/>
    <s v="Department of Electrical Engineering"/>
    <s v="Indian Institute of Technology Indore"/>
    <s v="vbhatia@iiti.ac.in"/>
    <x v="3"/>
    <s v="QuILA"/>
    <s v="MPI"/>
    <e v="#N/A"/>
    <x v="0"/>
  </r>
  <r>
    <n v="156"/>
    <s v="Prof. Yogesh Singh Chauhan"/>
    <s v="Department of Electrical Engineering"/>
    <s v="Indian Institute of Technology Kanpur"/>
    <s v="_x000a_chauhan@iitk.ac.in"/>
    <x v="1"/>
    <s v="TG 3 Design and Demonstration of a Highly Scalable Quantum Computer using Semiconducting Qubits"/>
    <s v="MPI"/>
    <e v="#N/A"/>
    <x v="0"/>
  </r>
  <r>
    <n v="157"/>
    <s v="Dr. Sarada Prasad Gochhayat "/>
    <m/>
    <s v="Indian Institute of Technology Jammu"/>
    <s v="sarada.gochhayat@iitjammu.ac.in"/>
    <x v="3"/>
    <s v="TAHQEECAT"/>
    <s v="TAHQEECAT"/>
    <s v="sarada.gochhayat@iitjammu.ac.i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8B107B-2AC9-4C3A-8C16-651434959778}"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10">
    <pivotField showAll="0"/>
    <pivotField showAll="0"/>
    <pivotField showAll="0"/>
    <pivotField showAll="0"/>
    <pivotField showAll="0"/>
    <pivotField axis="axisRow" multipleItemSelectionAllowed="1" showAll="0">
      <items count="7">
        <item n="Blank" h="1" x="4"/>
        <item x="1"/>
        <item x="5"/>
        <item x="0"/>
        <item x="2"/>
        <item x="3"/>
        <item t="default"/>
      </items>
    </pivotField>
    <pivotField showAll="0"/>
    <pivotField showAll="0"/>
    <pivotField showAll="0"/>
    <pivotField axis="axisCol" dataField="1" showAll="0">
      <items count="3">
        <item x="0"/>
        <item x="1"/>
        <item t="default"/>
      </items>
    </pivotField>
  </pivotFields>
  <rowFields count="1">
    <field x="5"/>
  </rowFields>
  <rowItems count="6">
    <i>
      <x v="1"/>
    </i>
    <i>
      <x v="2"/>
    </i>
    <i>
      <x v="3"/>
    </i>
    <i>
      <x v="4"/>
    </i>
    <i>
      <x v="5"/>
    </i>
    <i t="grand">
      <x/>
    </i>
  </rowItems>
  <colFields count="1">
    <field x="9"/>
  </colFields>
  <colItems count="3">
    <i>
      <x/>
    </i>
    <i>
      <x v="1"/>
    </i>
    <i t="grand">
      <x/>
    </i>
  </colItems>
  <dataFields count="1">
    <dataField name="Count of Registration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rajat21@iisertvm.ac.in" TargetMode="External"/><Relationship Id="rId3" Type="http://schemas.openxmlformats.org/officeDocument/2006/relationships/hyperlink" Target="mailto:neeraj@iitrpr.ac.in" TargetMode="External"/><Relationship Id="rId7" Type="http://schemas.openxmlformats.org/officeDocument/2006/relationships/hyperlink" Target="mailto:sarada.gochhayat@iitjammu.ac.in" TargetMode="External"/><Relationship Id="rId2" Type="http://schemas.openxmlformats.org/officeDocument/2006/relationships/hyperlink" Target="mailto:senthil@sac.isro.gov.in" TargetMode="External"/><Relationship Id="rId1" Type="http://schemas.openxmlformats.org/officeDocument/2006/relationships/hyperlink" Target="mailto:gsaikat@iitk.ac.in" TargetMode="External"/><Relationship Id="rId6" Type="http://schemas.openxmlformats.org/officeDocument/2006/relationships/hyperlink" Target="mailto:skvarshney@ece.iitkgp.ac.in" TargetMode="External"/><Relationship Id="rId11" Type="http://schemas.openxmlformats.org/officeDocument/2006/relationships/hyperlink" Target="mailto:dilip@qunulabs.com" TargetMode="External"/><Relationship Id="rId5" Type="http://schemas.openxmlformats.org/officeDocument/2006/relationships/hyperlink" Target="mailto:shankarks@iisc.ac.in" TargetMode="External"/><Relationship Id="rId10" Type="http://schemas.openxmlformats.org/officeDocument/2006/relationships/hyperlink" Target="mailto:sunil@qnulabs.com" TargetMode="External"/><Relationship Id="rId4" Type="http://schemas.openxmlformats.org/officeDocument/2006/relationships/hyperlink" Target="mailto:mukesh.kr@iiti.ac.in" TargetMode="External"/><Relationship Id="rId9" Type="http://schemas.openxmlformats.org/officeDocument/2006/relationships/hyperlink" Target="mailto:vidur.raj@quanastra.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jotform.com/uploads/Qmet/260672027148052/6502483482521778987/cw-lite-32.jpg.jpeg" TargetMode="External"/><Relationship Id="rId18" Type="http://schemas.openxmlformats.org/officeDocument/2006/relationships/hyperlink" Target="https://www.jotform.com/uploads/Qmet/260672027148052/6506911136333847079/DiamondSamples_RP_3526.png" TargetMode="External"/><Relationship Id="rId26" Type="http://schemas.openxmlformats.org/officeDocument/2006/relationships/hyperlink" Target="https://www.jotform.com/uploads/Qmet/260672027148052/6501618690652254627/2D%20Transfer%20Setup%20%26%20Precision%20Power%20Supply.jpg" TargetMode="External"/><Relationship Id="rId3" Type="http://schemas.openxmlformats.org/officeDocument/2006/relationships/hyperlink" Target="https://www.jotform.com/uploads/Qmet/260672027148052/6496502828185510048/nqm%20sub-low_8300.png" TargetMode="External"/><Relationship Id="rId21" Type="http://schemas.openxmlformats.org/officeDocument/2006/relationships/hyperlink" Target="https://www.jotform.com/uploads/Qmet/260672027148052/6506951446337177374/QT-AFM.jpg" TargetMode="External"/><Relationship Id="rId34" Type="http://schemas.openxmlformats.org/officeDocument/2006/relationships/hyperlink" Target="mailto:anaghagayathri@smail.iitm.ac.in" TargetMode="External"/><Relationship Id="rId7" Type="http://schemas.openxmlformats.org/officeDocument/2006/relationships/hyperlink" Target="https://www.jotform.com/uploads/Qmet/260672027148052/6495799308513351203/Prenishq%20Laser%20Launch%20flyer%20revised.pdf" TargetMode="External"/><Relationship Id="rId12" Type="http://schemas.openxmlformats.org/officeDocument/2006/relationships/hyperlink" Target="https://www.jotform.com/uploads/Qmet/260672027148052/6501556695026954019/CWLite.jpeg" TargetMode="External"/><Relationship Id="rId17" Type="http://schemas.openxmlformats.org/officeDocument/2006/relationships/hyperlink" Target="https://www.jotform.com/uploads/Qmet/260672027148052/6502478419741009952/MagPI_Photo_2898.JPG" TargetMode="External"/><Relationship Id="rId25" Type="http://schemas.openxmlformats.org/officeDocument/2006/relationships/hyperlink" Target="https://www.jotform.com/uploads/Qmet/260672027148052/6501616470659994834/2D%20Photon%20Emitter%20%26%20Detector%20Arrays.jpg" TargetMode="External"/><Relationship Id="rId33" Type="http://schemas.openxmlformats.org/officeDocument/2006/relationships/hyperlink" Target="mailto:shankarks@iisc.ac.in" TargetMode="External"/><Relationship Id="rId2" Type="http://schemas.openxmlformats.org/officeDocument/2006/relationships/hyperlink" Target="https://www.jotform.com/uploads/Qmet/260672027148052/6495553635606105708/TG3-IITD-Quantum-Computer-Schematic.jpg" TargetMode="External"/><Relationship Id="rId16" Type="http://schemas.openxmlformats.org/officeDocument/2006/relationships/hyperlink" Target="https://www.jotform.com/uploads/Qmet/260672027148052/6502451804853886749/QDM_Image.jpg" TargetMode="External"/><Relationship Id="rId20" Type="http://schemas.openxmlformats.org/officeDocument/2006/relationships/hyperlink" Target="https://www.jotform.com/uploads/Qmet/260672027148052/6506935246337613220/ISMO%20Balanced%20detector.jpg" TargetMode="External"/><Relationship Id="rId29" Type="http://schemas.openxmlformats.org/officeDocument/2006/relationships/hyperlink" Target="https://www.jotform.com/uploads/Qmet/260672027148052/6495522526427438722/IMG_1743.JPEG" TargetMode="External"/><Relationship Id="rId1" Type="http://schemas.openxmlformats.org/officeDocument/2006/relationships/hyperlink" Target="https://www.jotform.com/uploads/Qmet/260672027148052/6494586702916808495/Display.png" TargetMode="External"/><Relationship Id="rId6" Type="http://schemas.openxmlformats.org/officeDocument/2006/relationships/hyperlink" Target="https://www.jotform.com/uploads/Qmet/260672027148052/6495812735188358844/ConElec-SuperCQ.jpg" TargetMode="External"/><Relationship Id="rId11" Type="http://schemas.openxmlformats.org/officeDocument/2006/relationships/hyperlink" Target="https://www.jotform.com/uploads/Qmet/260672027148052/6502691282497432140/QuiLA.jpg" TargetMode="External"/><Relationship Id="rId24" Type="http://schemas.openxmlformats.org/officeDocument/2006/relationships/hyperlink" Target="https://www.jotform.com/uploads/Qmet/260672027148052/6501600758606575847/Picture2.jpg" TargetMode="External"/><Relationship Id="rId32" Type="http://schemas.openxmlformats.org/officeDocument/2006/relationships/hyperlink" Target="mailto:rajat21@iisertvm.ac.in" TargetMode="External"/><Relationship Id="rId5" Type="http://schemas.openxmlformats.org/officeDocument/2006/relationships/hyperlink" Target="https://www.jotform.com/uploads/Qmet/260672027148052/6502142416158167143/Picture1.png" TargetMode="External"/><Relationship Id="rId15" Type="http://schemas.openxmlformats.org/officeDocument/2006/relationships/hyperlink" Target="https://www.jotform.com/uploads/Qmet/260672027148052/6506943952498197516/SynergyQuantum.jpg" TargetMode="External"/><Relationship Id="rId23" Type="http://schemas.openxmlformats.org/officeDocument/2006/relationships/hyperlink" Target="https://www.jotform.com/uploads/Qmet/260672027148052/6504131075184348606/Vapor%20cell-Tech.jpeg" TargetMode="External"/><Relationship Id="rId28" Type="http://schemas.openxmlformats.org/officeDocument/2006/relationships/hyperlink" Target="https://www.jotform.com/uploads/Qmet/260672027148052/6495604869251620860/Picture1.png" TargetMode="External"/><Relationship Id="rId10" Type="http://schemas.openxmlformats.org/officeDocument/2006/relationships/hyperlink" Target="https://www.jotform.com/uploads/Qmet/260672027148052/6506955152498788044/QAIG.jpg" TargetMode="External"/><Relationship Id="rId19" Type="http://schemas.openxmlformats.org/officeDocument/2006/relationships/hyperlink" Target="https://www.jotform.com/uploads/Qmet/260672027148052/6506926056339673188/control%20electronics.jpg" TargetMode="External"/><Relationship Id="rId31" Type="http://schemas.openxmlformats.org/officeDocument/2006/relationships/hyperlink" Target="mailto:deepesh.sharma@ee.iitd.ac.in" TargetMode="External"/><Relationship Id="rId4" Type="http://schemas.openxmlformats.org/officeDocument/2006/relationships/hyperlink" Target="https://www.jotform.com/uploads/Qmet/260672027148052/6496277264281228497/6qubit-QC.png" TargetMode="External"/><Relationship Id="rId9" Type="http://schemas.openxmlformats.org/officeDocument/2006/relationships/hyperlink" Target="https://www.jotform.com/uploads/Qmet/260672027148052/6500608394918164434/IMG_1064%20%281%29.jpeg" TargetMode="External"/><Relationship Id="rId14" Type="http://schemas.openxmlformats.org/officeDocument/2006/relationships/hyperlink" Target="https://www.jotform.com/uploads/Qmet/260672027148052/6506962512498199842/TAHQEECAT.jpg" TargetMode="External"/><Relationship Id="rId22" Type="http://schemas.openxmlformats.org/officeDocument/2006/relationships/hyperlink" Target="https://www.jotform.com/uploads/Qmet/260672027148052/6506815553427022903/Picsart_26-03-30_17-33-41-145.jpg" TargetMode="External"/><Relationship Id="rId27" Type="http://schemas.openxmlformats.org/officeDocument/2006/relationships/hyperlink" Target="https://www.jotform.com/uploads/Qmet/260672027148052/6501626320656386319/TG3.png" TargetMode="External"/><Relationship Id="rId30" Type="http://schemas.openxmlformats.org/officeDocument/2006/relationships/hyperlink" Target="mailto:eez248406@ee.iitd.ac.in" TargetMode="External"/><Relationship Id="rId8" Type="http://schemas.openxmlformats.org/officeDocument/2006/relationships/hyperlink" Target="https://www.jotform.com/uploads/Qmet/260672027148052/6496353206325463976/QNu%20Product.p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mailto:drpramodwatekar@iitkgp.ac.in" TargetMode="External"/><Relationship Id="rId7" Type="http://schemas.openxmlformats.org/officeDocument/2006/relationships/printerSettings" Target="../printerSettings/printerSettings2.bin"/><Relationship Id="rId2" Type="http://schemas.openxmlformats.org/officeDocument/2006/relationships/hyperlink" Target="mailto:mukesh.kr@iiti.ac.in" TargetMode="External"/><Relationship Id="rId1" Type="http://schemas.openxmlformats.org/officeDocument/2006/relationships/hyperlink" Target="mailto:ceo@samgnya.in" TargetMode="External"/><Relationship Id="rId6" Type="http://schemas.openxmlformats.org/officeDocument/2006/relationships/hyperlink" Target="mailto:ramshanker@qcinnovation.co.in" TargetMode="External"/><Relationship Id="rId5" Type="http://schemas.openxmlformats.org/officeDocument/2006/relationships/hyperlink" Target="mailto:maheshwar.mangat@iitb.ac.in" TargetMode="External"/><Relationship Id="rId4" Type="http://schemas.openxmlformats.org/officeDocument/2006/relationships/hyperlink" Target="mailto:sunil@iiserpune.ac.in"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drpramodwatekar@iitkgp.ac.in" TargetMode="External"/><Relationship Id="rId2" Type="http://schemas.openxmlformats.org/officeDocument/2006/relationships/hyperlink" Target="mailto:mukesh.kr@iiti.ac.in" TargetMode="External"/><Relationship Id="rId1" Type="http://schemas.openxmlformats.org/officeDocument/2006/relationships/hyperlink" Target="mailto:ceo@samgnya.in" TargetMode="External"/><Relationship Id="rId6" Type="http://schemas.openxmlformats.org/officeDocument/2006/relationships/printerSettings" Target="../printerSettings/printerSettings3.bin"/><Relationship Id="rId5" Type="http://schemas.openxmlformats.org/officeDocument/2006/relationships/hyperlink" Target="mailto:g3raman@iitb.ac.in" TargetMode="External"/><Relationship Id="rId4" Type="http://schemas.openxmlformats.org/officeDocument/2006/relationships/hyperlink" Target="mailto:sunil@iiserpune.ac.i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amshanker@qcinnovation.co.in" TargetMode="External"/><Relationship Id="rId13" Type="http://schemas.openxmlformats.org/officeDocument/2006/relationships/hyperlink" Target="mailto:ramya@samgnya.in" TargetMode="External"/><Relationship Id="rId3" Type="http://schemas.openxmlformats.org/officeDocument/2006/relationships/hyperlink" Target="mailto:mukesh.kr@iiti.ac.in" TargetMode="External"/><Relationship Id="rId7" Type="http://schemas.openxmlformats.org/officeDocument/2006/relationships/hyperlink" Target="mailto:rakesh.25phz0003@iitrpr.ac.in" TargetMode="External"/><Relationship Id="rId12" Type="http://schemas.openxmlformats.org/officeDocument/2006/relationships/hyperlink" Target="mailto:mrigank@see.iitkgp.ac.in" TargetMode="External"/><Relationship Id="rId2" Type="http://schemas.openxmlformats.org/officeDocument/2006/relationships/hyperlink" Target="mailto:neeraj@iitrpr.ac.in" TargetMode="External"/><Relationship Id="rId1" Type="http://schemas.openxmlformats.org/officeDocument/2006/relationships/hyperlink" Target="mailto:vinayak.rane@qmettech.com" TargetMode="External"/><Relationship Id="rId6" Type="http://schemas.openxmlformats.org/officeDocument/2006/relationships/hyperlink" Target="mailto:rakeshd24@iitk.ac.in" TargetMode="External"/><Relationship Id="rId11" Type="http://schemas.openxmlformats.org/officeDocument/2006/relationships/hyperlink" Target="mailto:james_j@quantech.org.in" TargetMode="External"/><Relationship Id="rId5" Type="http://schemas.openxmlformats.org/officeDocument/2006/relationships/hyperlink" Target="mailto:sunil@iiserpune.ac.in" TargetMode="External"/><Relationship Id="rId10" Type="http://schemas.openxmlformats.org/officeDocument/2006/relationships/hyperlink" Target="mailto:maheshwar.mangat@iitb.ac.in" TargetMode="External"/><Relationship Id="rId4" Type="http://schemas.openxmlformats.org/officeDocument/2006/relationships/hyperlink" Target="mailto:sarada.gochhayat@iitjammu.ac.in" TargetMode="External"/><Relationship Id="rId9" Type="http://schemas.openxmlformats.org/officeDocument/2006/relationships/hyperlink" Target="mailto:g3raman@iitb.ac.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kumarpawan.ece@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rakeshd24@iitk.ac.in"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jotform.com/uploads/Qmet/260672027148052/6496353206325463976/QNu%20Product.png" TargetMode="External"/><Relationship Id="rId13" Type="http://schemas.openxmlformats.org/officeDocument/2006/relationships/hyperlink" Target="https://www.jotform.com/uploads/Qmet/260672027148052/6501618690652254627/2D%20Transfer%20Setup%20%26%20Precision%20Power%20Supply.jpg" TargetMode="External"/><Relationship Id="rId18" Type="http://schemas.openxmlformats.org/officeDocument/2006/relationships/hyperlink" Target="https://www.jotform.com/uploads/Qmet/260672027148052/6502483482521778987/cw-lite-32.jpg.jpeg" TargetMode="External"/><Relationship Id="rId3" Type="http://schemas.openxmlformats.org/officeDocument/2006/relationships/hyperlink" Target="https://www.jotform.com/uploads/Qmet/260672027148052/6495812735188358844/ConElec-SuperCQ.jpg" TargetMode="External"/><Relationship Id="rId21" Type="http://schemas.openxmlformats.org/officeDocument/2006/relationships/hyperlink" Target="https://www.jotform.com/uploads/Qmet/260672027148052/6504131075184348606/Vapor%20cell-Tech.jpeg" TargetMode="External"/><Relationship Id="rId7" Type="http://schemas.openxmlformats.org/officeDocument/2006/relationships/hyperlink" Target="https://www.jotform.com/uploads/Qmet/260672027148052/6495799308513351203/Prenishq%20Laser%20Launch%20flyer%20revised.pdf" TargetMode="External"/><Relationship Id="rId12" Type="http://schemas.openxmlformats.org/officeDocument/2006/relationships/hyperlink" Target="https://www.jotform.com/uploads/Qmet/260672027148052/6501616470659994834/2D%20Photon%20Emitter%20%26%20Detector%20Arrays.jpg" TargetMode="External"/><Relationship Id="rId17" Type="http://schemas.openxmlformats.org/officeDocument/2006/relationships/hyperlink" Target="https://www.jotform.com/uploads/Qmet/260672027148052/6502478419741009952/MagPI_Photo_2898.JPG" TargetMode="External"/><Relationship Id="rId25" Type="http://schemas.openxmlformats.org/officeDocument/2006/relationships/comments" Target="../comments1.xml"/><Relationship Id="rId2" Type="http://schemas.openxmlformats.org/officeDocument/2006/relationships/hyperlink" Target="https://www.jotform.com/uploads/Qmet/260672027148052/6495553635606105708/TG3-IITD-Quantum-Computer-Schematic.jpg" TargetMode="External"/><Relationship Id="rId16" Type="http://schemas.openxmlformats.org/officeDocument/2006/relationships/hyperlink" Target="https://www.jotform.com/uploads/Qmet/260672027148052/6502451804853886749/QDM_Image.jpg" TargetMode="External"/><Relationship Id="rId20" Type="http://schemas.openxmlformats.org/officeDocument/2006/relationships/hyperlink" Target="https://www.jotform.com/uploads/Qmet/260672027148052/6502711742492972140/QuEPRAN.png" TargetMode="External"/><Relationship Id="rId1" Type="http://schemas.openxmlformats.org/officeDocument/2006/relationships/hyperlink" Target="https://www.jotform.com/uploads/Qmet/260672027148052/6494586702916808495/Display.png" TargetMode="External"/><Relationship Id="rId6" Type="http://schemas.openxmlformats.org/officeDocument/2006/relationships/hyperlink" Target="https://www.jotform.com/uploads/Qmet/260672027148052/6495522526427438722/IMG_1743.JPEG" TargetMode="External"/><Relationship Id="rId11" Type="http://schemas.openxmlformats.org/officeDocument/2006/relationships/hyperlink" Target="https://www.jotform.com/uploads/Qmet/260672027148052/6501600758606575847/Picture2.jpg" TargetMode="External"/><Relationship Id="rId24" Type="http://schemas.openxmlformats.org/officeDocument/2006/relationships/vmlDrawing" Target="../drawings/vmlDrawing1.vml"/><Relationship Id="rId5" Type="http://schemas.openxmlformats.org/officeDocument/2006/relationships/hyperlink" Target="https://www.jotform.com/uploads/Qmet/260672027148052/6496502828185510048/nqm%20sub-low_8300.png" TargetMode="External"/><Relationship Id="rId15" Type="http://schemas.openxmlformats.org/officeDocument/2006/relationships/hyperlink" Target="https://www.jotform.com/uploads/Qmet/260672027148052/6502142416158167143/Picture1.png" TargetMode="External"/><Relationship Id="rId23" Type="http://schemas.openxmlformats.org/officeDocument/2006/relationships/hyperlink" Target="https://www.jotform.com/uploads/Qmet/260672027148052/6500608394918164434/IMG_1064%20%281%29.jpeg" TargetMode="External"/><Relationship Id="rId10" Type="http://schemas.openxmlformats.org/officeDocument/2006/relationships/hyperlink" Target="https://www.jotform.com/uploads/Qmet/260672027148052/6501556695026954019/CWLite.jpeg" TargetMode="External"/><Relationship Id="rId19" Type="http://schemas.openxmlformats.org/officeDocument/2006/relationships/hyperlink" Target="https://www.jotform.com/uploads/Qmet/260672027148052/6502691282497432140/QuiLA.jpg" TargetMode="External"/><Relationship Id="rId4" Type="http://schemas.openxmlformats.org/officeDocument/2006/relationships/hyperlink" Target="https://www.jotform.com/uploads/Qmet/260672027148052/6496277264281228497/6qubit-QC.png" TargetMode="External"/><Relationship Id="rId9" Type="http://schemas.openxmlformats.org/officeDocument/2006/relationships/hyperlink" Target="https://www.jotform.com/uploads/Qmet/260672027148052/6495604869251620860/Picture1.png" TargetMode="External"/><Relationship Id="rId14" Type="http://schemas.openxmlformats.org/officeDocument/2006/relationships/hyperlink" Target="https://www.jotform.com/uploads/Qmet/260672027148052/6501626320656386319/TG3.png" TargetMode="External"/><Relationship Id="rId22" Type="http://schemas.openxmlformats.org/officeDocument/2006/relationships/hyperlink" Target="https://www.jotform.com/uploads/Qmet/260672027148052/6506815553427022903/Picsart_26-03-30_17-33-41-145.jpg" TargetMode="Externa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3" Type="http://schemas.openxmlformats.org/officeDocument/2006/relationships/hyperlink" Target="mailto:raghavanke@iitp.ac.in" TargetMode="External"/><Relationship Id="rId18" Type="http://schemas.openxmlformats.org/officeDocument/2006/relationships/hyperlink" Target="mailto:suddhasatta.mahapatra@gmail.com" TargetMode="External"/><Relationship Id="rId26" Type="http://schemas.openxmlformats.org/officeDocument/2006/relationships/hyperlink" Target="mailto:b_amrita@iitb.ac.in" TargetMode="External"/><Relationship Id="rId39" Type="http://schemas.openxmlformats.org/officeDocument/2006/relationships/hyperlink" Target="mailto:neeraj@iitrpr.ac.in" TargetMode="External"/><Relationship Id="rId21" Type="http://schemas.openxmlformats.org/officeDocument/2006/relationships/hyperlink" Target="mailto:v.singh@iisc.ac.in" TargetMode="External"/><Relationship Id="rId34" Type="http://schemas.openxmlformats.org/officeDocument/2006/relationships/hyperlink" Target="mailto:dsaha@ee.iitb.ac.in" TargetMode="External"/><Relationship Id="rId42" Type="http://schemas.openxmlformats.org/officeDocument/2006/relationships/hyperlink" Target="mailto:praveen.kumar@iacs.res.in" TargetMode="External"/><Relationship Id="rId47" Type="http://schemas.openxmlformats.org/officeDocument/2006/relationships/hyperlink" Target="mailto:mannasan@ee.iitd.ac.in" TargetMode="External"/><Relationship Id="rId50" Type="http://schemas.openxmlformats.org/officeDocument/2006/relationships/hyperlink" Target="mailto:shankarks@iisc.ac.in" TargetMode="External"/><Relationship Id="rId55" Type="http://schemas.openxmlformats.org/officeDocument/2006/relationships/hyperlink" Target="mailto:umakant.rapol@iiserpune.ac.in" TargetMode="External"/><Relationship Id="rId7" Type="http://schemas.openxmlformats.org/officeDocument/2006/relationships/hyperlink" Target="mailto:dhiman@iitbhilai.ac.in" TargetMode="External"/><Relationship Id="rId2" Type="http://schemas.openxmlformats.org/officeDocument/2006/relationships/hyperlink" Target="mailto:anirban.mitra@ph.iitr.ac.in" TargetMode="External"/><Relationship Id="rId16" Type="http://schemas.openxmlformats.org/officeDocument/2006/relationships/hyperlink" Target="mailto:palanirakesh@gmail.com" TargetMode="External"/><Relationship Id="rId29" Type="http://schemas.openxmlformats.org/officeDocument/2006/relationships/hyperlink" Target="mailto:ankurgupta@care.iitd.ac.in" TargetMode="External"/><Relationship Id="rId11" Type="http://schemas.openxmlformats.org/officeDocument/2006/relationships/hyperlink" Target="mailto:natarajan@setsindia.net" TargetMode="External"/><Relationship Id="rId24" Type="http://schemas.openxmlformats.org/officeDocument/2006/relationships/hyperlink" Target="mailto:abhisek.dixit@gmail.com" TargetMode="External"/><Relationship Id="rId32" Type="http://schemas.openxmlformats.org/officeDocument/2006/relationships/hyperlink" Target="mailto:devarshi.das@iitrpr.ac.in" TargetMode="External"/><Relationship Id="rId37" Type="http://schemas.openxmlformats.org/officeDocument/2006/relationships/hyperlink" Target="mailto:kedark@opc.iitd.ac.in" TargetMode="External"/><Relationship Id="rId40" Type="http://schemas.openxmlformats.org/officeDocument/2006/relationships/hyperlink" Target="mailto:nirat@mse.iitd.ac.in" TargetMode="External"/><Relationship Id="rId45" Type="http://schemas.openxmlformats.org/officeDocument/2006/relationships/hyperlink" Target="mailto:samaresh.das@gmail.com" TargetMode="External"/><Relationship Id="rId53" Type="http://schemas.openxmlformats.org/officeDocument/2006/relationships/hyperlink" Target="mailto:supravat@dese.iitd.ac.in" TargetMode="External"/><Relationship Id="rId58" Type="http://schemas.openxmlformats.org/officeDocument/2006/relationships/hyperlink" Target="mailto:vbhatia@iiti.ac.in" TargetMode="External"/><Relationship Id="rId5" Type="http://schemas.openxmlformats.org/officeDocument/2006/relationships/hyperlink" Target="mailto:ds-rawal.sspl@gov.in" TargetMode="External"/><Relationship Id="rId19" Type="http://schemas.openxmlformats.org/officeDocument/2006/relationships/hyperlink" Target="mailto:uditendu.mukhopadhyay@gmail.com" TargetMode="External"/><Relationship Id="rId4" Type="http://schemas.openxmlformats.org/officeDocument/2006/relationships/hyperlink" Target="mailto:arijit@iittp.ac.in" TargetMode="External"/><Relationship Id="rId9" Type="http://schemas.openxmlformats.org/officeDocument/2006/relationships/hyperlink" Target="mailto:madhu@iisertvm.ac.in" TargetMode="External"/><Relationship Id="rId14" Type="http://schemas.openxmlformats.org/officeDocument/2006/relationships/hyperlink" Target="mailto:rahuls_ee@iitb.ac.in" TargetMode="External"/><Relationship Id="rId22" Type="http://schemas.openxmlformats.org/officeDocument/2006/relationships/hyperlink" Target="mailto:aneesh_kb@cdac.in" TargetMode="External"/><Relationship Id="rId27" Type="http://schemas.openxmlformats.org/officeDocument/2006/relationships/hyperlink" Target="mailto:anil@ee.iitm.ac.in" TargetMode="External"/><Relationship Id="rId30" Type="http://schemas.openxmlformats.org/officeDocument/2006/relationships/hyperlink" Target="mailto:adpatel@iisc.ac.in" TargetMode="External"/><Relationship Id="rId35" Type="http://schemas.openxmlformats.org/officeDocument/2006/relationships/hyperlink" Target="mailto:rajaraman@chem.iitb.ac.in" TargetMode="External"/><Relationship Id="rId43" Type="http://schemas.openxmlformats.org/officeDocument/2006/relationships/hyperlink" Target="mailto:ramis@care.iitd.ac.in" TargetMode="External"/><Relationship Id="rId48" Type="http://schemas.openxmlformats.org/officeDocument/2006/relationships/hyperlink" Target="mailto:slodha@ee.iitb.ac.in" TargetMode="External"/><Relationship Id="rId56" Type="http://schemas.openxmlformats.org/officeDocument/2006/relationships/hyperlink" Target="mailto:usinha@rri.res.in" TargetMode="External"/><Relationship Id="rId8" Type="http://schemas.openxmlformats.org/officeDocument/2006/relationships/hyperlink" Target="mailto:kanhaiyapandey@iitg.ac.in" TargetMode="External"/><Relationship Id="rId51" Type="http://schemas.openxmlformats.org/officeDocument/2006/relationships/hyperlink" Target="mailto:shobhana@jncasr.ac.in" TargetMode="External"/><Relationship Id="rId3" Type="http://schemas.openxmlformats.org/officeDocument/2006/relationships/hyperlink" Target="mailto:ankur@iiserb.ac.in" TargetMode="External"/><Relationship Id="rId12" Type="http://schemas.openxmlformats.org/officeDocument/2006/relationships/hyperlink" Target="mailto:prasana@matsc.iitkgp.ac.in" TargetMode="External"/><Relationship Id="rId17" Type="http://schemas.openxmlformats.org/officeDocument/2006/relationships/hyperlink" Target="mailto:skgoyal@iisermohali.ac.in" TargetMode="External"/><Relationship Id="rId25" Type="http://schemas.openxmlformats.org/officeDocument/2006/relationships/hyperlink" Target="mailto:aditi@hri.res.in" TargetMode="External"/><Relationship Id="rId33" Type="http://schemas.openxmlformats.org/officeDocument/2006/relationships/hyperlink" Target="mailto:dibyajyoti@mse.iitd.ac.in" TargetMode="External"/><Relationship Id="rId38" Type="http://schemas.openxmlformats.org/officeDocument/2006/relationships/hyperlink" Target="mailto:kolin.paul@gmail.com" TargetMode="External"/><Relationship Id="rId46" Type="http://schemas.openxmlformats.org/officeDocument/2006/relationships/hyperlink" Target="mailto:physkr@phy.iitkgp.ac.in" TargetMode="External"/><Relationship Id="rId59" Type="http://schemas.openxmlformats.org/officeDocument/2006/relationships/hyperlink" Target="mailto:chauhan@iitk.ac.in" TargetMode="External"/><Relationship Id="rId20" Type="http://schemas.openxmlformats.org/officeDocument/2006/relationships/hyperlink" Target="mailto:uroy@iitp.ac.in" TargetMode="External"/><Relationship Id="rId41" Type="http://schemas.openxmlformats.org/officeDocument/2006/relationships/hyperlink" Target="mailto:pintu@physics.iitd.ac.in" TargetMode="External"/><Relationship Id="rId54" Type="http://schemas.openxmlformats.org/officeDocument/2006/relationships/hyperlink" Target="mailto:sganguly@ee.iitb.ac.in" TargetMode="External"/><Relationship Id="rId1" Type="http://schemas.openxmlformats.org/officeDocument/2006/relationships/hyperlink" Target="mailto:shaji@iisertvm.ac.in" TargetMode="External"/><Relationship Id="rId6" Type="http://schemas.openxmlformats.org/officeDocument/2006/relationships/hyperlink" Target="mailto:dbroy@cse.iitk.ac.in" TargetMode="External"/><Relationship Id="rId15" Type="http://schemas.openxmlformats.org/officeDocument/2006/relationships/hyperlink" Target="mailto:rajesh.kumar@bt.iitr.ac.in" TargetMode="External"/><Relationship Id="rId23" Type="http://schemas.openxmlformats.org/officeDocument/2006/relationships/hyperlink" Target="mailto:henrys@cdac.in" TargetMode="External"/><Relationship Id="rId28" Type="http://schemas.openxmlformats.org/officeDocument/2006/relationships/hyperlink" Target="mailto:anirban.pathak@jiit.ac.in" TargetMode="External"/><Relationship Id="rId36" Type="http://schemas.openxmlformats.org/officeDocument/2006/relationships/hyperlink" Target="mailto:karun.rawat@ece.iitr.ac.in" TargetMode="External"/><Relationship Id="rId49" Type="http://schemas.openxmlformats.org/officeDocument/2006/relationships/hyperlink" Target="mailto:skvarshney@ece.iitkgp.ac.in" TargetMode="External"/><Relationship Id="rId57" Type="http://schemas.openxmlformats.org/officeDocument/2006/relationships/hyperlink" Target="mailto:varunr@iisc.ac.in" TargetMode="External"/><Relationship Id="rId10" Type="http://schemas.openxmlformats.org/officeDocument/2006/relationships/hyperlink" Target="mailto:mrigank@see.iitk.gp.ac.in" TargetMode="External"/><Relationship Id="rId31" Type="http://schemas.openxmlformats.org/officeDocument/2006/relationships/hyperlink" Target="mailto:ashish.arora@iiserpune.ac.in" TargetMode="External"/><Relationship Id="rId44" Type="http://schemas.openxmlformats.org/officeDocument/2006/relationships/hyperlink" Target="mailto:Rajendra.Singh@physics.iitd.ac.in" TargetMode="External"/><Relationship Id="rId52" Type="http://schemas.openxmlformats.org/officeDocument/2006/relationships/hyperlink" Target="mailto:sudebdg@gmail.com" TargetMode="External"/><Relationship Id="rId60" Type="http://schemas.openxmlformats.org/officeDocument/2006/relationships/hyperlink" Target="mailto:svaibhav@cdac.in"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mailto:senthil@sac.isro.gov.in" TargetMode="External"/><Relationship Id="rId3" Type="http://schemas.openxmlformats.org/officeDocument/2006/relationships/hyperlink" Target="mailto:panda@cse.iitd.ac.in" TargetMode="External"/><Relationship Id="rId7" Type="http://schemas.openxmlformats.org/officeDocument/2006/relationships/hyperlink" Target="mailto:shankarks@iisc.ac.in" TargetMode="External"/><Relationship Id="rId2" Type="http://schemas.openxmlformats.org/officeDocument/2006/relationships/hyperlink" Target="mailto:yogeshprasad@isro.gov.in" TargetMode="External"/><Relationship Id="rId1" Type="http://schemas.openxmlformats.org/officeDocument/2006/relationships/hyperlink" Target="mailto:ashokkumar@iist.ac.in" TargetMode="External"/><Relationship Id="rId6" Type="http://schemas.openxmlformats.org/officeDocument/2006/relationships/hyperlink" Target="mailto:mukesh.kr@iiti.ac.in" TargetMode="External"/><Relationship Id="rId5" Type="http://schemas.openxmlformats.org/officeDocument/2006/relationships/hyperlink" Target="mailto:neeraj@iitrpr.ac.in" TargetMode="External"/><Relationship Id="rId10" Type="http://schemas.openxmlformats.org/officeDocument/2006/relationships/hyperlink" Target="mailto:skvarshney@ece.iitkgp.ac.in" TargetMode="External"/><Relationship Id="rId4" Type="http://schemas.openxmlformats.org/officeDocument/2006/relationships/hyperlink" Target="mailto:sarada.gochhayat@iitjammu.ac.in" TargetMode="External"/><Relationship Id="rId9" Type="http://schemas.openxmlformats.org/officeDocument/2006/relationships/hyperlink" Target="mailto:gsaikat@iitk.ac.in"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mailto:skvarshney@ece.iitkgp.ac.in"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nilmani@theory.tifr.res.in" TargetMode="External"/><Relationship Id="rId13" Type="http://schemas.openxmlformats.org/officeDocument/2006/relationships/hyperlink" Target="mailto:atanu@phy.iith.ac.in" TargetMode="External"/><Relationship Id="rId18" Type="http://schemas.openxmlformats.org/officeDocument/2006/relationships/hyperlink" Target="mailto:santh@iiserpune.ac.in" TargetMode="External"/><Relationship Id="rId3" Type="http://schemas.openxmlformats.org/officeDocument/2006/relationships/hyperlink" Target="mailto:phanim@iisc.ac.in" TargetMode="External"/><Relationship Id="rId7" Type="http://schemas.openxmlformats.org/officeDocument/2006/relationships/hyperlink" Target="mailto:jaskaran@iitmandi.ac.in" TargetMode="External"/><Relationship Id="rId12" Type="http://schemas.openxmlformats.org/officeDocument/2006/relationships/hyperlink" Target="mailto:rmaitra@chem.iitb.ac.in" TargetMode="External"/><Relationship Id="rId17" Type="http://schemas.openxmlformats.org/officeDocument/2006/relationships/hyperlink" Target="mailto:parthapratim@iitism.ac.in" TargetMode="External"/><Relationship Id="rId2" Type="http://schemas.openxmlformats.org/officeDocument/2006/relationships/hyperlink" Target="mailto:abhirup.datta@iiti.ac.in" TargetMode="External"/><Relationship Id="rId16" Type="http://schemas.openxmlformats.org/officeDocument/2006/relationships/hyperlink" Target="mailto:naqueebwarsi@isical.ac.in" TargetMode="External"/><Relationship Id="rId1" Type="http://schemas.openxmlformats.org/officeDocument/2006/relationships/hyperlink" Target="mailto:prajagopal@iitm.ac.in" TargetMode="External"/><Relationship Id="rId6" Type="http://schemas.openxmlformats.org/officeDocument/2006/relationships/hyperlink" Target="mailto:arumugam@ph.iitr.ac.in" TargetMode="External"/><Relationship Id="rId11" Type="http://schemas.openxmlformats.org/officeDocument/2006/relationships/hyperlink" Target="mailto:srinivasaprasannaa@gmail.com" TargetMode="External"/><Relationship Id="rId5" Type="http://schemas.openxmlformats.org/officeDocument/2006/relationships/hyperlink" Target="mailto:naqueebwarsi@isical.ac.in" TargetMode="External"/><Relationship Id="rId15" Type="http://schemas.openxmlformats.org/officeDocument/2006/relationships/hyperlink" Target="mailto:naqueebwarsi@isical.ac.in" TargetMode="External"/><Relationship Id="rId10" Type="http://schemas.openxmlformats.org/officeDocument/2006/relationships/hyperlink" Target="mailto:ashutosh.bhatia@pilani.bits-pilani.ac.in" TargetMode="External"/><Relationship Id="rId19" Type="http://schemas.openxmlformats.org/officeDocument/2006/relationships/hyperlink" Target="mailto:sunil@qnulabs.com,%20anubhav.agarwal@qnulabs.com,%20dilip@qnulabs.com" TargetMode="External"/><Relationship Id="rId4" Type="http://schemas.openxmlformats.org/officeDocument/2006/relationships/hyperlink" Target="mailto:asvijab@cdac.in" TargetMode="External"/><Relationship Id="rId9" Type="http://schemas.openxmlformats.org/officeDocument/2006/relationships/hyperlink" Target="mailto:shassan@imsc.res.in" TargetMode="External"/><Relationship Id="rId14" Type="http://schemas.openxmlformats.org/officeDocument/2006/relationships/hyperlink" Target="mailto:ansharma@iitk.ac.in"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hyperlink" Target="mailto:jbvreddy@nic.in" TargetMode="External"/><Relationship Id="rId13" Type="http://schemas.openxmlformats.org/officeDocument/2006/relationships/hyperlink" Target="mailto:bkanseri@physics.iitd.ac.in" TargetMode="External"/><Relationship Id="rId18" Type="http://schemas.openxmlformats.org/officeDocument/2006/relationships/hyperlink" Target="mailto:arul@physics.iitm.ac.in" TargetMode="External"/><Relationship Id="rId3" Type="http://schemas.openxmlformats.org/officeDocument/2006/relationships/hyperlink" Target="mailto:Vijay.Rao@ltimindtree.com" TargetMode="External"/><Relationship Id="rId21" Type="http://schemas.openxmlformats.org/officeDocument/2006/relationships/hyperlink" Target="mailto:preeti.banzal@nic.in" TargetMode="External"/><Relationship Id="rId7" Type="http://schemas.openxmlformats.org/officeDocument/2006/relationships/hyperlink" Target="mailto:rahulyadav@ord.gov.in" TargetMode="External"/><Relationship Id="rId12" Type="http://schemas.openxmlformats.org/officeDocument/2006/relationships/hyperlink" Target="mailto:usinha@rri.res.in" TargetMode="External"/><Relationship Id="rId17" Type="http://schemas.openxmlformats.org/officeDocument/2006/relationships/hyperlink" Target="mailto:director.nplindia@csir.res.in" TargetMode="External"/><Relationship Id="rId25" Type="http://schemas.openxmlformats.org/officeDocument/2006/relationships/hyperlink" Target="mailto:navakant@iisc.ac.in%20" TargetMode="External"/><Relationship Id="rId2" Type="http://schemas.openxmlformats.org/officeDocument/2006/relationships/hyperlink" Target="mailto:sivakumar.srinivasan@krea.edu.in" TargetMode="External"/><Relationship Id="rId16" Type="http://schemas.openxmlformats.org/officeDocument/2006/relationships/hyperlink" Target="mailto:prashant@cdot.in" TargetMode="External"/><Relationship Id="rId20" Type="http://schemas.openxmlformats.org/officeDocument/2006/relationships/hyperlink" Target="mailto:SHUKLA.SP@mahindra.com" TargetMode="External"/><Relationship Id="rId1" Type="http://schemas.openxmlformats.org/officeDocument/2006/relationships/hyperlink" Target="mailto:bhaskar@ee.iitm.ac.in" TargetMode="External"/><Relationship Id="rId6" Type="http://schemas.openxmlformats.org/officeDocument/2006/relationships/hyperlink" Target="mailto:preeti.banzal@nic.in" TargetMode="External"/><Relationship Id="rId11" Type="http://schemas.openxmlformats.org/officeDocument/2006/relationships/hyperlink" Target="mailto:swatirawal.dang@gov.in" TargetMode="External"/><Relationship Id="rId24" Type="http://schemas.openxmlformats.org/officeDocument/2006/relationships/hyperlink" Target="mailto:jbvreddy@nic.in%20" TargetMode="External"/><Relationship Id="rId5" Type="http://schemas.openxmlformats.org/officeDocument/2006/relationships/hyperlink" Target="mailto:ceo@tnthub.org" TargetMode="External"/><Relationship Id="rId15" Type="http://schemas.openxmlformats.org/officeDocument/2006/relationships/hyperlink" Target="mailto:senthil@sac.isro.gov.in" TargetMode="External"/><Relationship Id="rId23" Type="http://schemas.openxmlformats.org/officeDocument/2006/relationships/hyperlink" Target="mailto:dd.fia@iitb.ac.in" TargetMode="External"/><Relationship Id="rId10" Type="http://schemas.openxmlformats.org/officeDocument/2006/relationships/hyperlink" Target="mailto:akg@cdot.in" TargetMode="External"/><Relationship Id="rId19" Type="http://schemas.openxmlformats.org/officeDocument/2006/relationships/hyperlink" Target="mailto:anil.s@tcs.com" TargetMode="External"/><Relationship Id="rId4" Type="http://schemas.openxmlformats.org/officeDocument/2006/relationships/hyperlink" Target="mailto:deepa.nagaraj@mphasis.com" TargetMode="External"/><Relationship Id="rId9" Type="http://schemas.openxmlformats.org/officeDocument/2006/relationships/hyperlink" Target="mailto:ddg.sri-dot@nic.in" TargetMode="External"/><Relationship Id="rId14" Type="http://schemas.openxmlformats.org/officeDocument/2006/relationships/hyperlink" Target="mailto:dgaur@cdot.in" TargetMode="External"/><Relationship Id="rId22" Type="http://schemas.openxmlformats.org/officeDocument/2006/relationships/hyperlink" Target="mailto:dd.art@iitb.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001"/>
  <sheetViews>
    <sheetView topLeftCell="A34" zoomScale="95" zoomScaleNormal="95" workbookViewId="0">
      <selection activeCell="C46" sqref="C46"/>
    </sheetView>
  </sheetViews>
  <sheetFormatPr defaultColWidth="12.453125" defaultRowHeight="15.75" customHeight="1"/>
  <cols>
    <col min="1" max="1" width="3.1796875" style="3" customWidth="1"/>
    <col min="2" max="2" width="57.1796875" style="3" bestFit="1" customWidth="1"/>
    <col min="3" max="3" width="25" style="3" bestFit="1" customWidth="1"/>
    <col min="4" max="4" width="35" style="3" bestFit="1" customWidth="1"/>
    <col min="5" max="5" width="105.81640625" style="3" customWidth="1"/>
    <col min="6" max="16384" width="12.453125" style="3"/>
  </cols>
  <sheetData>
    <row r="1" spans="1:20" ht="13.5">
      <c r="A1" s="1"/>
      <c r="B1" s="2"/>
      <c r="C1" s="2"/>
      <c r="D1" s="2"/>
      <c r="E1" s="1"/>
      <c r="F1" s="1"/>
      <c r="G1" s="1"/>
      <c r="H1" s="1"/>
      <c r="I1" s="1"/>
      <c r="J1" s="1"/>
      <c r="K1" s="1"/>
      <c r="L1" s="1"/>
      <c r="M1" s="1"/>
      <c r="N1" s="1"/>
      <c r="O1" s="1"/>
      <c r="P1" s="1"/>
      <c r="Q1" s="1"/>
      <c r="R1" s="1"/>
      <c r="S1" s="1"/>
      <c r="T1" s="1"/>
    </row>
    <row r="2" spans="1:20" ht="13.5">
      <c r="A2" s="1"/>
      <c r="B2" s="4" t="s">
        <v>0</v>
      </c>
      <c r="C2" s="4" t="s">
        <v>1</v>
      </c>
      <c r="D2" s="5" t="s">
        <v>2</v>
      </c>
      <c r="E2" s="5" t="s">
        <v>3</v>
      </c>
      <c r="F2" s="1"/>
      <c r="G2" s="1"/>
      <c r="H2" s="1"/>
      <c r="I2" s="1"/>
      <c r="J2" s="1"/>
      <c r="K2" s="1"/>
      <c r="L2" s="1"/>
      <c r="M2" s="1"/>
      <c r="N2" s="1"/>
      <c r="O2" s="1"/>
      <c r="P2" s="1"/>
      <c r="Q2" s="1"/>
      <c r="R2" s="1"/>
      <c r="S2" s="1"/>
      <c r="T2" s="1"/>
    </row>
    <row r="3" spans="1:20" ht="13.5">
      <c r="A3" s="1"/>
      <c r="B3" s="6" t="s">
        <v>4</v>
      </c>
      <c r="C3" s="7" t="s">
        <v>5</v>
      </c>
      <c r="D3" s="6" t="s">
        <v>1505</v>
      </c>
      <c r="E3" s="7" t="s">
        <v>1523</v>
      </c>
      <c r="F3" s="1"/>
      <c r="G3" s="1"/>
      <c r="H3" s="1"/>
      <c r="I3" s="1"/>
      <c r="J3" s="1"/>
      <c r="K3" s="1"/>
      <c r="L3" s="1"/>
      <c r="M3" s="1"/>
      <c r="N3" s="1"/>
      <c r="O3" s="1"/>
      <c r="P3" s="1"/>
      <c r="Q3" s="1"/>
      <c r="R3" s="1"/>
      <c r="S3" s="1"/>
      <c r="T3" s="1"/>
    </row>
    <row r="4" spans="1:20" ht="13.5">
      <c r="A4" s="1"/>
      <c r="B4" s="6" t="s">
        <v>6</v>
      </c>
      <c r="C4" s="7" t="s">
        <v>7</v>
      </c>
      <c r="D4" s="6" t="s">
        <v>1503</v>
      </c>
      <c r="E4" s="7" t="s">
        <v>2247</v>
      </c>
      <c r="F4" s="1"/>
      <c r="G4" s="1"/>
      <c r="H4" s="1"/>
      <c r="I4" s="1"/>
      <c r="J4" s="1"/>
      <c r="K4" s="1"/>
      <c r="L4" s="1"/>
      <c r="M4" s="1"/>
      <c r="N4" s="1"/>
      <c r="O4" s="1"/>
      <c r="P4" s="1"/>
      <c r="Q4" s="1"/>
      <c r="R4" s="1"/>
      <c r="S4" s="1"/>
      <c r="T4" s="1"/>
    </row>
    <row r="5" spans="1:20" ht="27">
      <c r="B5" s="6" t="s">
        <v>8</v>
      </c>
      <c r="C5" s="7" t="s">
        <v>9</v>
      </c>
      <c r="D5" s="6" t="s">
        <v>10</v>
      </c>
      <c r="E5" s="8"/>
      <c r="F5" s="1"/>
      <c r="G5" s="1"/>
      <c r="H5" s="1"/>
      <c r="I5" s="1"/>
      <c r="J5" s="1"/>
      <c r="K5" s="1"/>
      <c r="L5" s="1"/>
      <c r="M5" s="1"/>
      <c r="N5" s="1"/>
      <c r="O5" s="1"/>
      <c r="P5" s="1"/>
      <c r="Q5" s="1"/>
      <c r="R5" s="1"/>
      <c r="S5" s="1"/>
      <c r="T5" s="1"/>
    </row>
    <row r="6" spans="1:20" ht="27">
      <c r="B6" s="6" t="s">
        <v>11</v>
      </c>
      <c r="C6" s="7" t="s">
        <v>12</v>
      </c>
      <c r="D6" s="6" t="s">
        <v>1504</v>
      </c>
      <c r="E6" s="8"/>
      <c r="I6" s="1"/>
      <c r="J6" s="1"/>
      <c r="K6" s="1"/>
      <c r="L6" s="1"/>
      <c r="M6" s="1"/>
      <c r="N6" s="1"/>
      <c r="O6" s="1"/>
      <c r="P6" s="1"/>
      <c r="Q6" s="1"/>
      <c r="R6" s="1"/>
      <c r="S6" s="1"/>
      <c r="T6" s="1"/>
    </row>
    <row r="7" spans="1:20" ht="13.5">
      <c r="B7" s="6" t="s">
        <v>13</v>
      </c>
      <c r="C7" s="7" t="s">
        <v>14</v>
      </c>
      <c r="D7" s="6" t="s">
        <v>2248</v>
      </c>
      <c r="E7" s="8"/>
      <c r="F7" s="1"/>
      <c r="G7" s="1"/>
      <c r="H7" s="1"/>
      <c r="I7" s="1"/>
      <c r="J7" s="1"/>
      <c r="K7" s="1"/>
      <c r="L7" s="1"/>
      <c r="M7" s="1"/>
      <c r="N7" s="1"/>
      <c r="O7" s="1"/>
      <c r="P7" s="1"/>
      <c r="Q7" s="1"/>
      <c r="R7" s="1"/>
      <c r="S7" s="1"/>
      <c r="T7" s="1"/>
    </row>
    <row r="8" spans="1:20" ht="27">
      <c r="B8" s="6" t="s">
        <v>15</v>
      </c>
      <c r="C8" s="7" t="s">
        <v>16</v>
      </c>
      <c r="D8" s="6" t="s">
        <v>2249</v>
      </c>
      <c r="E8" s="8"/>
      <c r="F8" s="1"/>
      <c r="G8" s="1"/>
      <c r="H8" s="1"/>
      <c r="I8" s="1"/>
      <c r="J8" s="1"/>
      <c r="K8" s="1"/>
      <c r="L8" s="1"/>
      <c r="M8" s="1"/>
      <c r="N8" s="1"/>
      <c r="O8" s="1"/>
      <c r="P8" s="1"/>
      <c r="Q8" s="1"/>
      <c r="R8" s="1"/>
      <c r="S8" s="1"/>
      <c r="T8" s="1"/>
    </row>
    <row r="9" spans="1:20" ht="13.5">
      <c r="B9" s="6" t="s">
        <v>17</v>
      </c>
      <c r="C9" s="7" t="s">
        <v>18</v>
      </c>
      <c r="D9" s="387" t="s">
        <v>1503</v>
      </c>
      <c r="E9" s="8"/>
      <c r="F9" s="1"/>
      <c r="G9" s="1"/>
      <c r="H9" s="1"/>
      <c r="I9" s="1"/>
      <c r="J9" s="1"/>
      <c r="K9" s="1"/>
      <c r="L9" s="1"/>
      <c r="M9" s="1"/>
      <c r="N9" s="1"/>
      <c r="O9" s="1"/>
      <c r="P9" s="1"/>
      <c r="Q9" s="1"/>
      <c r="R9" s="1"/>
      <c r="S9" s="1"/>
      <c r="T9" s="1"/>
    </row>
    <row r="10" spans="1:20" ht="13.5">
      <c r="B10" s="6" t="s">
        <v>19</v>
      </c>
      <c r="C10" s="7" t="s">
        <v>20</v>
      </c>
      <c r="D10" s="387" t="s">
        <v>1503</v>
      </c>
      <c r="E10" s="8"/>
      <c r="F10" s="1"/>
      <c r="G10" s="1"/>
      <c r="H10" s="1"/>
      <c r="I10" s="1"/>
      <c r="J10" s="1"/>
      <c r="K10" s="1"/>
      <c r="L10" s="1"/>
      <c r="M10" s="1"/>
      <c r="N10" s="1"/>
      <c r="O10" s="1"/>
      <c r="P10" s="1"/>
      <c r="Q10" s="1"/>
      <c r="R10" s="1"/>
      <c r="S10" s="1"/>
      <c r="T10" s="1"/>
    </row>
    <row r="11" spans="1:20" ht="13.5">
      <c r="B11" s="6" t="s">
        <v>21</v>
      </c>
      <c r="C11" s="7" t="s">
        <v>22</v>
      </c>
      <c r="D11" s="7"/>
      <c r="E11" s="8"/>
      <c r="F11" s="1"/>
      <c r="G11" s="1"/>
      <c r="H11" s="1"/>
      <c r="I11" s="1"/>
      <c r="J11" s="1"/>
      <c r="K11" s="1"/>
      <c r="L11" s="1"/>
      <c r="M11" s="1"/>
      <c r="N11" s="1"/>
      <c r="O11" s="1"/>
      <c r="P11" s="1"/>
      <c r="Q11" s="1"/>
      <c r="R11" s="1"/>
      <c r="S11" s="1"/>
      <c r="T11" s="1"/>
    </row>
    <row r="12" spans="1:20" ht="13.5">
      <c r="B12" s="6" t="s">
        <v>23</v>
      </c>
      <c r="C12" s="7" t="s">
        <v>24</v>
      </c>
      <c r="D12" s="7"/>
      <c r="E12" s="8"/>
      <c r="F12" s="1"/>
      <c r="G12" s="1"/>
      <c r="H12" s="1"/>
      <c r="I12" s="1"/>
      <c r="J12" s="1"/>
      <c r="K12" s="1"/>
      <c r="L12" s="1"/>
      <c r="M12" s="1"/>
      <c r="N12" s="1"/>
      <c r="O12" s="1"/>
      <c r="P12" s="1"/>
      <c r="Q12" s="1"/>
      <c r="R12" s="1"/>
      <c r="S12" s="1"/>
      <c r="T12" s="1"/>
    </row>
    <row r="13" spans="1:20" ht="13.5">
      <c r="B13" s="6" t="s">
        <v>25</v>
      </c>
      <c r="C13" s="7" t="s">
        <v>26</v>
      </c>
      <c r="D13" s="9"/>
      <c r="E13" s="8"/>
      <c r="F13" s="1"/>
      <c r="G13" s="1"/>
      <c r="H13" s="1"/>
      <c r="I13" s="1"/>
      <c r="J13" s="1"/>
      <c r="K13" s="1"/>
      <c r="L13" s="1"/>
      <c r="M13" s="1"/>
      <c r="N13" s="1"/>
      <c r="O13" s="1"/>
      <c r="P13" s="1"/>
      <c r="Q13" s="1"/>
      <c r="R13" s="1"/>
      <c r="S13" s="1"/>
      <c r="T13" s="1"/>
    </row>
    <row r="14" spans="1:20" ht="27">
      <c r="B14" s="6" t="s">
        <v>27</v>
      </c>
      <c r="C14" s="7" t="s">
        <v>28</v>
      </c>
      <c r="D14" s="7" t="s">
        <v>2250</v>
      </c>
      <c r="E14" s="8"/>
      <c r="F14" s="1"/>
      <c r="G14" s="1"/>
      <c r="H14" s="1"/>
      <c r="I14" s="1"/>
      <c r="J14" s="1"/>
      <c r="K14" s="1"/>
      <c r="L14" s="1"/>
      <c r="M14" s="1"/>
      <c r="N14" s="1"/>
      <c r="O14" s="1"/>
      <c r="P14" s="1"/>
      <c r="Q14" s="1"/>
      <c r="R14" s="1"/>
      <c r="S14" s="1"/>
      <c r="T14" s="1"/>
    </row>
    <row r="15" spans="1:20" ht="27">
      <c r="B15" s="6" t="s">
        <v>29</v>
      </c>
      <c r="C15" s="7" t="s">
        <v>30</v>
      </c>
      <c r="D15" s="7"/>
      <c r="E15" s="7"/>
      <c r="F15" s="1"/>
      <c r="G15" s="1"/>
      <c r="H15" s="1"/>
      <c r="I15" s="1"/>
      <c r="J15" s="1"/>
      <c r="K15" s="1"/>
      <c r="L15" s="1"/>
      <c r="M15" s="1"/>
      <c r="N15" s="1"/>
      <c r="O15" s="1"/>
      <c r="P15" s="1"/>
      <c r="Q15" s="1"/>
      <c r="R15" s="1"/>
      <c r="S15" s="1"/>
      <c r="T15" s="1"/>
    </row>
    <row r="16" spans="1:20" ht="13.5">
      <c r="B16" s="6" t="s">
        <v>31</v>
      </c>
      <c r="C16" s="7" t="s">
        <v>32</v>
      </c>
      <c r="D16" s="7"/>
      <c r="E16" s="7"/>
      <c r="F16" s="1"/>
      <c r="G16" s="1"/>
      <c r="H16" s="1"/>
      <c r="I16" s="1"/>
      <c r="J16" s="1"/>
      <c r="K16" s="1"/>
      <c r="L16" s="1"/>
      <c r="M16" s="1"/>
      <c r="N16" s="1"/>
      <c r="O16" s="1"/>
      <c r="P16" s="1"/>
      <c r="Q16" s="1"/>
      <c r="R16" s="1"/>
      <c r="S16" s="1"/>
      <c r="T16" s="1"/>
    </row>
    <row r="17" spans="1:20" ht="13.5">
      <c r="B17" s="6" t="s">
        <v>33</v>
      </c>
      <c r="C17" s="9" t="s">
        <v>34</v>
      </c>
      <c r="D17" s="9" t="s">
        <v>1506</v>
      </c>
      <c r="E17" s="7"/>
      <c r="F17" s="1"/>
      <c r="G17" s="1"/>
      <c r="H17" s="1"/>
      <c r="I17" s="1"/>
      <c r="J17" s="1"/>
      <c r="K17" s="1"/>
      <c r="L17" s="1"/>
      <c r="M17" s="1"/>
      <c r="N17" s="1"/>
      <c r="O17" s="1"/>
      <c r="P17" s="1"/>
      <c r="Q17" s="1"/>
      <c r="R17" s="1"/>
      <c r="S17" s="1"/>
      <c r="T17" s="1"/>
    </row>
    <row r="18" spans="1:20" ht="13.5">
      <c r="B18" s="6" t="s">
        <v>35</v>
      </c>
      <c r="C18" s="9" t="s">
        <v>32</v>
      </c>
      <c r="D18" s="9"/>
      <c r="E18" s="7"/>
      <c r="F18" s="1"/>
      <c r="G18" s="1"/>
      <c r="H18" s="1"/>
      <c r="I18" s="1"/>
      <c r="J18" s="1"/>
      <c r="K18" s="1"/>
      <c r="L18" s="1"/>
      <c r="M18" s="1"/>
      <c r="N18" s="1"/>
      <c r="O18" s="1"/>
      <c r="P18" s="1"/>
      <c r="Q18" s="1"/>
      <c r="R18" s="1"/>
      <c r="S18" s="1"/>
      <c r="T18" s="1"/>
    </row>
    <row r="19" spans="1:20" ht="13.5">
      <c r="B19" s="6" t="s">
        <v>36</v>
      </c>
      <c r="C19" s="9" t="s">
        <v>37</v>
      </c>
      <c r="D19" s="9"/>
      <c r="E19" s="8"/>
      <c r="F19" s="1"/>
      <c r="G19" s="1"/>
      <c r="H19" s="1"/>
      <c r="I19" s="1"/>
      <c r="J19" s="1"/>
      <c r="K19" s="1"/>
      <c r="L19" s="1"/>
      <c r="M19" s="1"/>
      <c r="N19" s="1"/>
      <c r="O19" s="1"/>
      <c r="P19" s="1"/>
      <c r="Q19" s="1"/>
      <c r="R19" s="1"/>
      <c r="S19" s="1"/>
      <c r="T19" s="1"/>
    </row>
    <row r="20" spans="1:20" ht="13.5">
      <c r="B20" s="9" t="s">
        <v>38</v>
      </c>
      <c r="C20" s="9" t="s">
        <v>39</v>
      </c>
      <c r="D20" s="9" t="s">
        <v>1507</v>
      </c>
      <c r="E20" s="7"/>
      <c r="F20" s="1"/>
      <c r="G20" s="1"/>
      <c r="H20" s="1"/>
      <c r="I20" s="1"/>
      <c r="J20" s="1"/>
      <c r="K20" s="1"/>
      <c r="L20" s="1"/>
      <c r="M20" s="1"/>
      <c r="N20" s="1"/>
      <c r="O20" s="1"/>
      <c r="P20" s="1"/>
      <c r="Q20" s="1"/>
      <c r="R20" s="1"/>
      <c r="S20" s="1"/>
      <c r="T20" s="1"/>
    </row>
    <row r="21" spans="1:20" ht="13.5">
      <c r="B21" s="6" t="s">
        <v>40</v>
      </c>
      <c r="C21" s="9" t="s">
        <v>39</v>
      </c>
      <c r="D21" s="9" t="s">
        <v>2251</v>
      </c>
      <c r="E21" s="7" t="s">
        <v>1508</v>
      </c>
      <c r="F21" s="1"/>
      <c r="G21" s="1"/>
      <c r="H21" s="1"/>
      <c r="I21" s="1"/>
      <c r="J21" s="1"/>
      <c r="K21" s="1"/>
      <c r="L21" s="1"/>
      <c r="M21" s="1"/>
      <c r="N21" s="1"/>
      <c r="O21" s="1"/>
      <c r="P21" s="1"/>
      <c r="Q21" s="1"/>
      <c r="R21" s="1"/>
      <c r="S21" s="1"/>
      <c r="T21" s="1"/>
    </row>
    <row r="22" spans="1:20" ht="13.5">
      <c r="B22" s="9" t="s">
        <v>41</v>
      </c>
      <c r="C22" s="9" t="s">
        <v>42</v>
      </c>
      <c r="D22" s="9"/>
      <c r="E22" s="7"/>
      <c r="F22" s="1"/>
      <c r="G22" s="1"/>
      <c r="H22" s="1"/>
      <c r="I22" s="1"/>
      <c r="J22" s="1"/>
      <c r="K22" s="1"/>
      <c r="L22" s="1"/>
      <c r="M22" s="1"/>
      <c r="N22" s="1"/>
      <c r="O22" s="1"/>
      <c r="P22" s="1"/>
      <c r="Q22" s="1"/>
      <c r="R22" s="1"/>
      <c r="S22" s="1"/>
      <c r="T22" s="1"/>
    </row>
    <row r="23" spans="1:20" ht="13.5">
      <c r="B23" s="10" t="s">
        <v>1509</v>
      </c>
      <c r="C23" s="9" t="s">
        <v>1510</v>
      </c>
      <c r="D23" s="9" t="s">
        <v>1511</v>
      </c>
      <c r="E23" s="7"/>
      <c r="F23" s="1"/>
      <c r="G23" s="1"/>
      <c r="H23" s="1"/>
      <c r="I23" s="1"/>
      <c r="J23" s="1"/>
      <c r="K23" s="1"/>
      <c r="L23" s="1"/>
      <c r="M23" s="1"/>
      <c r="N23" s="1"/>
      <c r="O23" s="1"/>
      <c r="P23" s="1"/>
      <c r="Q23" s="1"/>
      <c r="R23" s="1"/>
      <c r="S23" s="1"/>
      <c r="T23" s="1"/>
    </row>
    <row r="24" spans="1:20" ht="13.5">
      <c r="B24" s="9" t="s">
        <v>1512</v>
      </c>
      <c r="C24" s="9" t="s">
        <v>9</v>
      </c>
      <c r="D24" s="9" t="s">
        <v>1513</v>
      </c>
      <c r="E24" s="216"/>
      <c r="F24" s="1"/>
      <c r="G24" s="1"/>
      <c r="H24" s="1"/>
      <c r="I24" s="1"/>
      <c r="J24" s="1"/>
      <c r="K24" s="1"/>
      <c r="L24" s="1"/>
      <c r="M24" s="1"/>
      <c r="N24" s="1"/>
      <c r="O24" s="1"/>
      <c r="P24" s="1"/>
      <c r="Q24" s="1"/>
      <c r="R24" s="1"/>
      <c r="S24" s="1"/>
      <c r="T24" s="1"/>
    </row>
    <row r="25" spans="1:20" ht="13.5">
      <c r="B25" s="216" t="s">
        <v>1514</v>
      </c>
      <c r="C25" s="9" t="s">
        <v>1515</v>
      </c>
      <c r="D25" s="9" t="s">
        <v>1516</v>
      </c>
      <c r="E25" s="216"/>
      <c r="F25" s="1"/>
      <c r="G25" s="1"/>
      <c r="H25" s="1"/>
      <c r="I25" s="1"/>
      <c r="J25" s="1"/>
      <c r="K25" s="1"/>
      <c r="L25" s="1"/>
      <c r="M25" s="1"/>
      <c r="N25" s="1"/>
      <c r="O25" s="1"/>
      <c r="P25" s="1"/>
      <c r="Q25" s="1"/>
      <c r="R25" s="1"/>
      <c r="S25" s="1"/>
      <c r="T25" s="1"/>
    </row>
    <row r="26" spans="1:20" ht="13.5">
      <c r="B26" s="216" t="s">
        <v>1517</v>
      </c>
      <c r="C26" s="9" t="s">
        <v>1518</v>
      </c>
      <c r="D26" s="9"/>
      <c r="E26" s="216"/>
      <c r="F26" s="1"/>
      <c r="G26" s="1"/>
      <c r="H26" s="1"/>
      <c r="I26" s="1"/>
      <c r="J26" s="1"/>
      <c r="K26" s="1"/>
      <c r="L26" s="1"/>
      <c r="M26" s="1"/>
      <c r="N26" s="1"/>
      <c r="O26" s="1"/>
      <c r="P26" s="1"/>
      <c r="Q26" s="1"/>
      <c r="R26" s="1"/>
      <c r="S26" s="1"/>
      <c r="T26" s="1"/>
    </row>
    <row r="27" spans="1:20" ht="13.5">
      <c r="B27" s="216" t="s">
        <v>1755</v>
      </c>
      <c r="C27" s="9"/>
      <c r="D27" s="9" t="s">
        <v>1756</v>
      </c>
      <c r="E27" s="216"/>
      <c r="F27" s="1"/>
      <c r="G27" s="1"/>
      <c r="H27" s="1"/>
      <c r="I27" s="1"/>
      <c r="J27" s="1"/>
      <c r="K27" s="1"/>
      <c r="L27" s="1"/>
      <c r="M27" s="1"/>
      <c r="N27" s="1"/>
      <c r="O27" s="1"/>
      <c r="P27" s="1"/>
      <c r="Q27" s="1"/>
      <c r="R27" s="1"/>
      <c r="S27" s="1"/>
      <c r="T27" s="1"/>
    </row>
    <row r="28" spans="1:20" ht="13.5">
      <c r="B28" s="1"/>
      <c r="E28" s="1"/>
      <c r="F28" s="1"/>
      <c r="G28" s="1"/>
      <c r="H28" s="1"/>
      <c r="I28" s="1"/>
      <c r="J28" s="1"/>
      <c r="K28" s="1"/>
      <c r="L28" s="1"/>
      <c r="M28" s="1"/>
      <c r="N28" s="1"/>
      <c r="O28" s="1"/>
      <c r="P28" s="1"/>
      <c r="Q28" s="1"/>
      <c r="R28" s="1"/>
      <c r="S28" s="1"/>
      <c r="T28" s="1"/>
    </row>
    <row r="29" spans="1:20" ht="13.5">
      <c r="B29" s="1"/>
      <c r="E29" s="1"/>
      <c r="F29" s="1"/>
      <c r="G29" s="1"/>
      <c r="H29" s="1"/>
      <c r="I29" s="1"/>
      <c r="J29" s="1"/>
      <c r="K29" s="1"/>
      <c r="L29" s="1"/>
      <c r="M29" s="1"/>
      <c r="N29" s="1"/>
      <c r="O29" s="1"/>
      <c r="P29" s="1"/>
      <c r="Q29" s="1"/>
      <c r="R29" s="1"/>
      <c r="S29" s="1"/>
      <c r="T29" s="1"/>
    </row>
    <row r="30" spans="1:20" ht="13.5">
      <c r="A30" s="1"/>
      <c r="B30" s="461" t="s">
        <v>2394</v>
      </c>
      <c r="C30" s="1"/>
      <c r="D30" s="1"/>
      <c r="E30" s="1"/>
      <c r="F30" s="1"/>
      <c r="G30" s="1"/>
      <c r="H30" s="1"/>
      <c r="I30" s="1"/>
      <c r="J30" s="1"/>
      <c r="K30" s="1"/>
      <c r="L30" s="1"/>
      <c r="M30" s="1"/>
      <c r="N30" s="1"/>
      <c r="O30" s="1"/>
      <c r="P30" s="1"/>
      <c r="Q30" s="1"/>
      <c r="R30" s="1"/>
      <c r="S30" s="1"/>
      <c r="T30" s="1"/>
    </row>
    <row r="31" spans="1:20" ht="13.5">
      <c r="A31" s="1"/>
      <c r="B31" s="1" t="s">
        <v>2395</v>
      </c>
      <c r="C31" s="1" t="s">
        <v>2396</v>
      </c>
      <c r="D31" s="1"/>
      <c r="E31" s="1"/>
      <c r="F31" s="1"/>
      <c r="G31" s="1"/>
      <c r="H31" s="1"/>
      <c r="I31" s="1"/>
      <c r="J31" s="1"/>
      <c r="K31" s="1"/>
      <c r="L31" s="1"/>
      <c r="M31" s="1"/>
      <c r="N31" s="1"/>
      <c r="O31" s="1"/>
      <c r="P31" s="1"/>
      <c r="Q31" s="1"/>
      <c r="R31" s="1"/>
      <c r="S31" s="1"/>
      <c r="T31" s="1"/>
    </row>
    <row r="32" spans="1:20" ht="13.5">
      <c r="A32" s="1"/>
      <c r="B32" s="1" t="s">
        <v>2398</v>
      </c>
      <c r="C32" s="1" t="s">
        <v>365</v>
      </c>
      <c r="D32" s="1"/>
      <c r="E32" s="1"/>
      <c r="F32" s="1"/>
      <c r="G32" s="1"/>
      <c r="H32" s="1"/>
      <c r="I32" s="1"/>
      <c r="J32" s="1"/>
      <c r="K32" s="1"/>
      <c r="L32" s="1"/>
      <c r="M32" s="1"/>
      <c r="N32" s="1"/>
      <c r="O32" s="1"/>
      <c r="P32" s="1"/>
      <c r="Q32" s="1"/>
      <c r="R32" s="1"/>
      <c r="S32" s="1"/>
      <c r="T32" s="1"/>
    </row>
    <row r="33" spans="1:20" ht="13.5">
      <c r="A33" s="1"/>
      <c r="B33" s="1" t="s">
        <v>2397</v>
      </c>
      <c r="C33" s="1" t="s">
        <v>2399</v>
      </c>
      <c r="D33" s="1"/>
      <c r="E33" s="1"/>
      <c r="F33" s="1"/>
      <c r="G33" s="1"/>
      <c r="H33" s="1"/>
      <c r="I33" s="1"/>
      <c r="J33" s="1"/>
      <c r="K33" s="1"/>
      <c r="L33" s="1"/>
      <c r="M33" s="1"/>
      <c r="N33" s="1"/>
      <c r="O33" s="1"/>
      <c r="P33" s="1"/>
      <c r="Q33" s="1"/>
      <c r="R33" s="1"/>
      <c r="S33" s="1"/>
      <c r="T33" s="1"/>
    </row>
    <row r="34" spans="1:20" ht="13.5">
      <c r="A34" s="1"/>
      <c r="B34" s="1" t="s">
        <v>2424</v>
      </c>
      <c r="C34" s="1" t="s">
        <v>2425</v>
      </c>
      <c r="D34" s="1"/>
      <c r="E34" s="1"/>
      <c r="F34" s="1"/>
      <c r="G34" s="1"/>
      <c r="H34" s="1"/>
      <c r="I34" s="1"/>
      <c r="J34" s="1"/>
      <c r="K34" s="1"/>
      <c r="L34" s="1"/>
      <c r="M34" s="1"/>
      <c r="N34" s="1"/>
      <c r="O34" s="1"/>
      <c r="P34" s="1"/>
      <c r="Q34" s="1"/>
      <c r="R34" s="1"/>
      <c r="S34" s="1"/>
      <c r="T34" s="1"/>
    </row>
    <row r="35" spans="1:20" ht="13.5">
      <c r="A35" s="1"/>
      <c r="B35" s="1" t="s">
        <v>2404</v>
      </c>
      <c r="C35" s="1" t="s">
        <v>2400</v>
      </c>
      <c r="D35" s="1"/>
      <c r="E35" s="1"/>
      <c r="F35" s="1"/>
      <c r="G35" s="1"/>
      <c r="H35" s="1"/>
      <c r="I35" s="1"/>
      <c r="J35" s="1"/>
      <c r="K35" s="1"/>
      <c r="L35" s="1"/>
      <c r="M35" s="1"/>
      <c r="N35" s="1"/>
      <c r="O35" s="1"/>
      <c r="P35" s="1"/>
      <c r="Q35" s="1"/>
      <c r="R35" s="1"/>
      <c r="S35" s="1"/>
      <c r="T35" s="1"/>
    </row>
    <row r="36" spans="1:20" ht="13.5">
      <c r="A36" s="1"/>
      <c r="B36" s="1" t="s">
        <v>2401</v>
      </c>
      <c r="C36" s="1" t="s">
        <v>2402</v>
      </c>
      <c r="D36" s="1"/>
      <c r="E36" s="1"/>
      <c r="F36" s="1"/>
      <c r="G36" s="1"/>
      <c r="H36" s="1"/>
      <c r="I36" s="1"/>
      <c r="J36" s="1"/>
      <c r="K36" s="1"/>
      <c r="L36" s="1"/>
      <c r="M36" s="1"/>
      <c r="N36" s="1"/>
      <c r="O36" s="1"/>
      <c r="P36" s="1"/>
      <c r="Q36" s="1"/>
      <c r="R36" s="1"/>
      <c r="S36" s="1"/>
      <c r="T36" s="1"/>
    </row>
    <row r="37" spans="1:20" ht="13.5">
      <c r="A37" s="1"/>
      <c r="B37" s="1" t="s">
        <v>2405</v>
      </c>
      <c r="C37" s="1" t="s">
        <v>2406</v>
      </c>
      <c r="D37" s="1"/>
      <c r="E37" s="1"/>
      <c r="F37" s="1"/>
      <c r="G37" s="1"/>
      <c r="H37" s="1"/>
      <c r="I37" s="1"/>
      <c r="J37" s="1"/>
      <c r="K37" s="1"/>
      <c r="L37" s="1"/>
      <c r="M37" s="1"/>
      <c r="N37" s="1"/>
      <c r="O37" s="1"/>
      <c r="P37" s="1"/>
      <c r="Q37" s="1"/>
      <c r="R37" s="1"/>
      <c r="S37" s="1"/>
      <c r="T37" s="1"/>
    </row>
    <row r="38" spans="1:20" ht="13.5">
      <c r="A38" s="1"/>
      <c r="B38" s="1" t="s">
        <v>2426</v>
      </c>
      <c r="C38" s="1" t="s">
        <v>2425</v>
      </c>
      <c r="D38" s="1"/>
      <c r="E38" s="1"/>
      <c r="F38" s="1"/>
      <c r="G38" s="1"/>
      <c r="H38" s="1"/>
      <c r="I38" s="1"/>
      <c r="J38" s="1"/>
      <c r="K38" s="1"/>
      <c r="L38" s="1"/>
      <c r="M38" s="1"/>
      <c r="N38" s="1"/>
      <c r="O38" s="1"/>
      <c r="P38" s="1"/>
      <c r="Q38" s="1"/>
      <c r="R38" s="1"/>
      <c r="S38" s="1"/>
      <c r="T38" s="1"/>
    </row>
    <row r="39" spans="1:20" ht="13.5">
      <c r="A39" s="1"/>
      <c r="B39" s="1" t="s">
        <v>2407</v>
      </c>
      <c r="C39" s="1" t="s">
        <v>2408</v>
      </c>
      <c r="D39" s="1"/>
      <c r="E39" s="1"/>
      <c r="F39" s="1"/>
      <c r="G39" s="1"/>
      <c r="H39" s="1"/>
      <c r="I39" s="1"/>
      <c r="J39" s="1"/>
      <c r="K39" s="1"/>
      <c r="L39" s="1"/>
      <c r="M39" s="1"/>
      <c r="N39" s="1"/>
      <c r="O39" s="1"/>
      <c r="P39" s="1"/>
      <c r="Q39" s="1"/>
      <c r="R39" s="1"/>
      <c r="S39" s="1"/>
      <c r="T39" s="1"/>
    </row>
    <row r="40" spans="1:20" ht="27">
      <c r="A40" s="1"/>
      <c r="B40" s="1" t="s">
        <v>2409</v>
      </c>
      <c r="C40" s="1" t="s">
        <v>2422</v>
      </c>
      <c r="D40" s="1"/>
      <c r="E40" s="1"/>
      <c r="F40" s="1"/>
      <c r="G40" s="1"/>
      <c r="H40" s="1"/>
      <c r="I40" s="1"/>
      <c r="J40" s="1"/>
      <c r="K40" s="1"/>
      <c r="L40" s="1"/>
      <c r="M40" s="1"/>
      <c r="N40" s="1"/>
      <c r="O40" s="1"/>
      <c r="P40" s="1"/>
      <c r="Q40" s="1"/>
      <c r="R40" s="1"/>
      <c r="S40" s="1"/>
      <c r="T40" s="1"/>
    </row>
    <row r="41" spans="1:20" ht="13.5">
      <c r="A41" s="1"/>
      <c r="B41" s="1" t="s">
        <v>2410</v>
      </c>
      <c r="C41" s="1" t="s">
        <v>2449</v>
      </c>
      <c r="D41" s="1"/>
      <c r="E41" s="1"/>
      <c r="F41" s="1"/>
      <c r="G41" s="1"/>
      <c r="H41" s="1"/>
      <c r="I41" s="1"/>
      <c r="J41" s="1"/>
      <c r="K41" s="1"/>
      <c r="L41" s="1"/>
      <c r="M41" s="1"/>
      <c r="N41" s="1"/>
      <c r="O41" s="1"/>
      <c r="P41" s="1"/>
      <c r="Q41" s="1"/>
      <c r="R41" s="1"/>
      <c r="S41" s="1"/>
      <c r="T41" s="1"/>
    </row>
    <row r="42" spans="1:20" ht="27">
      <c r="A42" s="1"/>
      <c r="B42" s="1" t="s">
        <v>2411</v>
      </c>
      <c r="C42" s="1" t="s">
        <v>2412</v>
      </c>
      <c r="D42" s="1"/>
      <c r="E42" s="1"/>
      <c r="F42" s="1"/>
      <c r="G42" s="1"/>
      <c r="H42" s="1"/>
      <c r="I42" s="1"/>
      <c r="J42" s="1"/>
      <c r="K42" s="1"/>
      <c r="L42" s="1"/>
      <c r="M42" s="1"/>
      <c r="N42" s="1"/>
      <c r="O42" s="1"/>
      <c r="P42" s="1"/>
      <c r="Q42" s="1"/>
      <c r="R42" s="1"/>
      <c r="S42" s="1"/>
      <c r="T42" s="1"/>
    </row>
    <row r="43" spans="1:20" ht="27">
      <c r="A43" s="1"/>
      <c r="B43" s="1" t="s">
        <v>2413</v>
      </c>
      <c r="C43" s="1" t="s">
        <v>2414</v>
      </c>
      <c r="D43" s="1"/>
      <c r="E43" s="1"/>
      <c r="F43" s="1"/>
      <c r="G43" s="1"/>
      <c r="H43" s="1"/>
      <c r="I43" s="1"/>
      <c r="J43" s="1"/>
      <c r="K43" s="1"/>
      <c r="L43" s="1"/>
      <c r="M43" s="1"/>
      <c r="N43" s="1"/>
      <c r="O43" s="1"/>
      <c r="P43" s="1"/>
      <c r="Q43" s="1"/>
      <c r="R43" s="1"/>
      <c r="S43" s="1"/>
      <c r="T43" s="1"/>
    </row>
    <row r="44" spans="1:20" ht="13.5">
      <c r="A44" s="1"/>
      <c r="B44" s="1" t="s">
        <v>2415</v>
      </c>
      <c r="C44" s="1" t="s">
        <v>2416</v>
      </c>
      <c r="D44" s="1"/>
      <c r="E44" s="1"/>
      <c r="F44" s="1"/>
      <c r="G44" s="1"/>
      <c r="H44" s="1"/>
      <c r="I44" s="1"/>
      <c r="J44" s="1"/>
      <c r="K44" s="1"/>
      <c r="L44" s="1"/>
      <c r="M44" s="1"/>
      <c r="N44" s="1"/>
      <c r="O44" s="1"/>
      <c r="P44" s="1"/>
      <c r="Q44" s="1"/>
      <c r="R44" s="1"/>
      <c r="S44" s="1"/>
      <c r="T44" s="1"/>
    </row>
    <row r="45" spans="1:20" ht="13.5">
      <c r="A45" s="1"/>
      <c r="B45" s="1" t="s">
        <v>2417</v>
      </c>
      <c r="C45" s="1" t="s">
        <v>2418</v>
      </c>
      <c r="D45" s="1"/>
      <c r="E45" s="1"/>
      <c r="F45" s="1"/>
      <c r="G45" s="1"/>
      <c r="H45" s="1"/>
      <c r="I45" s="1"/>
      <c r="J45" s="1"/>
      <c r="K45" s="1"/>
      <c r="L45" s="1"/>
      <c r="M45" s="1"/>
      <c r="N45" s="1"/>
      <c r="O45" s="1"/>
      <c r="P45" s="1"/>
      <c r="Q45" s="1"/>
      <c r="R45" s="1"/>
      <c r="S45" s="1"/>
      <c r="T45" s="1"/>
    </row>
    <row r="46" spans="1:20" ht="13.5">
      <c r="A46" s="1"/>
      <c r="B46" s="1" t="s">
        <v>2420</v>
      </c>
      <c r="C46" s="1" t="s">
        <v>2419</v>
      </c>
      <c r="D46" s="1"/>
      <c r="E46" s="1"/>
      <c r="F46" s="1"/>
      <c r="G46" s="1"/>
      <c r="H46" s="1"/>
      <c r="I46" s="1"/>
      <c r="J46" s="1"/>
      <c r="K46" s="1"/>
      <c r="L46" s="1"/>
      <c r="M46" s="1"/>
      <c r="N46" s="1"/>
      <c r="O46" s="1"/>
      <c r="P46" s="1"/>
      <c r="Q46" s="1"/>
      <c r="R46" s="1"/>
      <c r="S46" s="1"/>
      <c r="T46" s="1"/>
    </row>
    <row r="47" spans="1:20" ht="13.5">
      <c r="A47" s="1"/>
      <c r="B47" s="1" t="s">
        <v>2421</v>
      </c>
      <c r="C47" s="1" t="s">
        <v>2423</v>
      </c>
      <c r="D47" s="1"/>
      <c r="E47" s="1"/>
      <c r="F47" s="1"/>
      <c r="G47" s="1"/>
      <c r="H47" s="1"/>
      <c r="I47" s="1"/>
      <c r="J47" s="1"/>
      <c r="K47" s="1"/>
      <c r="L47" s="1"/>
      <c r="M47" s="1"/>
      <c r="N47" s="1"/>
      <c r="O47" s="1"/>
      <c r="P47" s="1"/>
      <c r="Q47" s="1"/>
      <c r="R47" s="1"/>
      <c r="S47" s="1"/>
      <c r="T47" s="1"/>
    </row>
    <row r="48" spans="1:20" ht="13.5">
      <c r="A48" s="1"/>
      <c r="B48" s="1" t="s">
        <v>2427</v>
      </c>
      <c r="C48" s="1" t="s">
        <v>2428</v>
      </c>
      <c r="D48" s="1"/>
      <c r="E48" s="1"/>
      <c r="F48" s="1"/>
      <c r="G48" s="1"/>
      <c r="H48" s="1"/>
      <c r="I48" s="1"/>
      <c r="J48" s="1"/>
      <c r="K48" s="1"/>
      <c r="L48" s="1"/>
      <c r="M48" s="1"/>
      <c r="N48" s="1"/>
      <c r="O48" s="1"/>
      <c r="P48" s="1"/>
      <c r="Q48" s="1"/>
      <c r="R48" s="1"/>
      <c r="S48" s="1"/>
      <c r="T48" s="1"/>
    </row>
    <row r="49" spans="1:20" ht="13.5">
      <c r="A49" s="1"/>
      <c r="B49" s="1" t="s">
        <v>2429</v>
      </c>
      <c r="C49" s="1" t="s">
        <v>2430</v>
      </c>
      <c r="D49" s="1"/>
      <c r="E49" s="1"/>
      <c r="F49" s="1"/>
      <c r="G49" s="1"/>
      <c r="H49" s="1"/>
      <c r="I49" s="1"/>
      <c r="J49" s="1"/>
      <c r="K49" s="1"/>
      <c r="L49" s="1"/>
      <c r="M49" s="1"/>
      <c r="N49" s="1"/>
      <c r="O49" s="1"/>
      <c r="P49" s="1"/>
      <c r="Q49" s="1"/>
      <c r="R49" s="1"/>
      <c r="S49" s="1"/>
      <c r="T49" s="1"/>
    </row>
    <row r="50" spans="1:20" ht="13.5">
      <c r="A50" s="1"/>
      <c r="B50" s="1" t="s">
        <v>2431</v>
      </c>
      <c r="C50" s="1" t="s">
        <v>2416</v>
      </c>
      <c r="D50" s="1"/>
      <c r="E50" s="1"/>
      <c r="F50" s="1"/>
      <c r="G50" s="1"/>
      <c r="H50" s="1"/>
      <c r="I50" s="1"/>
      <c r="J50" s="1"/>
      <c r="K50" s="1"/>
      <c r="L50" s="1"/>
      <c r="M50" s="1"/>
      <c r="N50" s="1"/>
      <c r="O50" s="1"/>
      <c r="P50" s="1"/>
      <c r="Q50" s="1"/>
      <c r="R50" s="1"/>
      <c r="S50" s="1"/>
      <c r="T50" s="1"/>
    </row>
    <row r="51" spans="1:20" ht="13.5">
      <c r="A51" s="1"/>
      <c r="B51" s="1" t="s">
        <v>2432</v>
      </c>
      <c r="C51" s="1" t="s">
        <v>2416</v>
      </c>
      <c r="D51" s="1"/>
      <c r="E51" s="1"/>
      <c r="F51" s="1"/>
      <c r="G51" s="1"/>
      <c r="H51" s="1"/>
      <c r="I51" s="1"/>
      <c r="J51" s="1"/>
      <c r="K51" s="1"/>
      <c r="L51" s="1"/>
      <c r="M51" s="1"/>
      <c r="N51" s="1"/>
      <c r="O51" s="1"/>
      <c r="P51" s="1"/>
      <c r="Q51" s="1"/>
      <c r="R51" s="1"/>
      <c r="S51" s="1"/>
      <c r="T51" s="1"/>
    </row>
    <row r="52" spans="1:20" ht="27">
      <c r="A52" s="1"/>
      <c r="B52" s="1" t="s">
        <v>2433</v>
      </c>
      <c r="C52" s="1" t="s">
        <v>2434</v>
      </c>
      <c r="D52" s="1"/>
      <c r="E52" s="1"/>
      <c r="F52" s="1"/>
      <c r="G52" s="1"/>
      <c r="H52" s="1"/>
      <c r="I52" s="1"/>
      <c r="J52" s="1"/>
      <c r="K52" s="1"/>
      <c r="L52" s="1"/>
      <c r="M52" s="1"/>
      <c r="N52" s="1"/>
      <c r="O52" s="1"/>
      <c r="P52" s="1"/>
      <c r="Q52" s="1"/>
      <c r="R52" s="1"/>
      <c r="S52" s="1"/>
      <c r="T52" s="1"/>
    </row>
    <row r="53" spans="1:20" ht="13.5">
      <c r="A53" s="1"/>
      <c r="B53" s="1" t="s">
        <v>2435</v>
      </c>
      <c r="C53" s="1" t="s">
        <v>2436</v>
      </c>
      <c r="D53" s="1"/>
      <c r="E53" s="1"/>
      <c r="F53" s="1"/>
      <c r="G53" s="1"/>
      <c r="H53" s="1"/>
      <c r="I53" s="1"/>
      <c r="J53" s="1"/>
      <c r="K53" s="1"/>
      <c r="L53" s="1"/>
      <c r="M53" s="1"/>
      <c r="N53" s="1"/>
      <c r="O53" s="1"/>
      <c r="P53" s="1"/>
      <c r="Q53" s="1"/>
      <c r="R53" s="1"/>
      <c r="S53" s="1"/>
      <c r="T53" s="1"/>
    </row>
    <row r="54" spans="1:20" ht="13.5">
      <c r="A54" s="1"/>
      <c r="B54" s="1" t="s">
        <v>2438</v>
      </c>
      <c r="C54" s="1" t="s">
        <v>2439</v>
      </c>
      <c r="D54" s="1"/>
      <c r="E54" s="1"/>
      <c r="F54" s="1"/>
      <c r="G54" s="1"/>
      <c r="H54" s="1"/>
      <c r="I54" s="1"/>
      <c r="J54" s="1"/>
      <c r="K54" s="1"/>
      <c r="L54" s="1"/>
      <c r="M54" s="1"/>
      <c r="N54" s="1"/>
      <c r="O54" s="1"/>
      <c r="P54" s="1"/>
      <c r="Q54" s="1"/>
      <c r="R54" s="1"/>
      <c r="S54" s="1"/>
      <c r="T54" s="1"/>
    </row>
    <row r="55" spans="1:20" ht="13.5">
      <c r="A55" s="1"/>
      <c r="B55" s="1" t="s">
        <v>2420</v>
      </c>
      <c r="C55" s="1" t="s">
        <v>2441</v>
      </c>
      <c r="D55" s="1"/>
      <c r="E55" s="1"/>
      <c r="F55" s="1"/>
      <c r="G55" s="1"/>
      <c r="H55" s="1"/>
      <c r="I55" s="1"/>
      <c r="J55" s="1"/>
      <c r="K55" s="1"/>
      <c r="L55" s="1"/>
      <c r="M55" s="1"/>
      <c r="N55" s="1"/>
      <c r="O55" s="1"/>
      <c r="P55" s="1"/>
      <c r="Q55" s="1"/>
      <c r="R55" s="1"/>
      <c r="S55" s="1"/>
      <c r="T55" s="1"/>
    </row>
    <row r="56" spans="1:20" ht="13.5">
      <c r="A56" s="1"/>
      <c r="B56" s="1" t="s">
        <v>2403</v>
      </c>
      <c r="C56" s="1" t="s">
        <v>2400</v>
      </c>
      <c r="D56" s="1"/>
      <c r="E56" s="1"/>
      <c r="F56" s="1"/>
      <c r="G56" s="1"/>
      <c r="H56" s="1"/>
      <c r="I56" s="1"/>
      <c r="J56" s="1"/>
      <c r="K56" s="1"/>
      <c r="L56" s="1"/>
      <c r="M56" s="1"/>
      <c r="N56" s="1"/>
      <c r="O56" s="1"/>
      <c r="P56" s="1"/>
      <c r="Q56" s="1"/>
      <c r="R56" s="1"/>
      <c r="S56" s="1"/>
      <c r="T56" s="1"/>
    </row>
    <row r="57" spans="1:20" ht="13.5">
      <c r="A57" s="1"/>
      <c r="B57" s="1" t="s">
        <v>2415</v>
      </c>
      <c r="C57" s="1" t="s">
        <v>2416</v>
      </c>
      <c r="D57" s="1"/>
      <c r="E57" s="1"/>
      <c r="F57" s="1"/>
      <c r="G57" s="1"/>
      <c r="H57" s="1"/>
      <c r="I57" s="1"/>
      <c r="J57" s="1"/>
      <c r="K57" s="1"/>
      <c r="L57" s="1"/>
      <c r="M57" s="1"/>
      <c r="N57" s="1"/>
      <c r="O57" s="1"/>
      <c r="P57" s="1"/>
      <c r="Q57" s="1"/>
      <c r="R57" s="1"/>
      <c r="S57" s="1"/>
      <c r="T57" s="1"/>
    </row>
    <row r="58" spans="1:20" ht="13.5">
      <c r="A58" s="1"/>
      <c r="B58" s="1" t="s">
        <v>2442</v>
      </c>
      <c r="C58" s="1" t="s">
        <v>2443</v>
      </c>
      <c r="D58" s="1"/>
      <c r="E58" s="1"/>
      <c r="F58" s="1"/>
      <c r="G58" s="1"/>
      <c r="H58" s="1"/>
      <c r="I58" s="1"/>
      <c r="J58" s="1"/>
      <c r="K58" s="1"/>
      <c r="L58" s="1"/>
      <c r="M58" s="1"/>
      <c r="N58" s="1"/>
      <c r="O58" s="1"/>
      <c r="P58" s="1"/>
      <c r="Q58" s="1"/>
      <c r="R58" s="1"/>
      <c r="S58" s="1"/>
      <c r="T58" s="1"/>
    </row>
    <row r="59" spans="1:20" ht="13.5">
      <c r="A59" s="1"/>
      <c r="B59" s="1" t="s">
        <v>2444</v>
      </c>
      <c r="C59" s="1" t="s">
        <v>1515</v>
      </c>
      <c r="D59" s="1"/>
      <c r="E59" s="1"/>
      <c r="F59" s="1"/>
      <c r="G59" s="1"/>
      <c r="H59" s="1"/>
      <c r="I59" s="1"/>
      <c r="J59" s="1"/>
      <c r="K59" s="1"/>
      <c r="L59" s="1"/>
      <c r="M59" s="1"/>
      <c r="N59" s="1"/>
      <c r="O59" s="1"/>
      <c r="P59" s="1"/>
      <c r="Q59" s="1"/>
      <c r="R59" s="1"/>
      <c r="S59" s="1"/>
      <c r="T59" s="1"/>
    </row>
    <row r="60" spans="1:20" ht="13.5">
      <c r="A60" s="1"/>
      <c r="B60" s="1" t="s">
        <v>2431</v>
      </c>
      <c r="C60" s="1" t="s">
        <v>2446</v>
      </c>
      <c r="D60" s="1"/>
      <c r="E60" s="1"/>
      <c r="F60" s="1"/>
      <c r="G60" s="1"/>
      <c r="H60" s="1"/>
      <c r="I60" s="1"/>
      <c r="J60" s="1"/>
      <c r="K60" s="1"/>
      <c r="L60" s="1"/>
      <c r="M60" s="1"/>
      <c r="N60" s="1"/>
      <c r="O60" s="1"/>
      <c r="P60" s="1"/>
      <c r="Q60" s="1"/>
      <c r="R60" s="1"/>
      <c r="S60" s="1"/>
      <c r="T60" s="1"/>
    </row>
    <row r="61" spans="1:20" ht="13.5">
      <c r="A61" s="1"/>
      <c r="B61" s="1" t="s">
        <v>2445</v>
      </c>
      <c r="C61" s="1" t="s">
        <v>2400</v>
      </c>
      <c r="D61" s="1"/>
      <c r="E61" s="1"/>
      <c r="F61" s="1"/>
      <c r="G61" s="1"/>
      <c r="H61" s="1"/>
      <c r="I61" s="1"/>
      <c r="J61" s="1"/>
      <c r="K61" s="1"/>
      <c r="L61" s="1"/>
      <c r="M61" s="1"/>
      <c r="N61" s="1"/>
      <c r="O61" s="1"/>
      <c r="P61" s="1"/>
      <c r="Q61" s="1"/>
      <c r="R61" s="1"/>
      <c r="S61" s="1"/>
      <c r="T61" s="1"/>
    </row>
    <row r="62" spans="1:20" ht="13.5">
      <c r="A62" s="1"/>
      <c r="B62" s="1" t="s">
        <v>2447</v>
      </c>
      <c r="C62" s="1" t="s">
        <v>2448</v>
      </c>
      <c r="D62" s="1"/>
      <c r="E62" s="1"/>
      <c r="F62" s="1"/>
      <c r="G62" s="1"/>
      <c r="H62" s="1"/>
      <c r="I62" s="1"/>
      <c r="J62" s="1"/>
      <c r="K62" s="1"/>
      <c r="L62" s="1"/>
      <c r="M62" s="1"/>
      <c r="N62" s="1"/>
      <c r="O62" s="1"/>
      <c r="P62" s="1"/>
      <c r="Q62" s="1"/>
      <c r="R62" s="1"/>
      <c r="S62" s="1"/>
      <c r="T62" s="1"/>
    </row>
    <row r="63" spans="1:20" ht="13.5">
      <c r="A63" s="1"/>
      <c r="B63" s="1" t="s">
        <v>2450</v>
      </c>
      <c r="C63" s="1" t="s">
        <v>26</v>
      </c>
      <c r="D63" s="1"/>
      <c r="E63" s="1"/>
      <c r="F63" s="1"/>
      <c r="G63" s="1"/>
      <c r="H63" s="1"/>
      <c r="I63" s="1"/>
      <c r="J63" s="1"/>
      <c r="K63" s="1"/>
      <c r="L63" s="1"/>
      <c r="M63" s="1"/>
      <c r="N63" s="1"/>
      <c r="O63" s="1"/>
      <c r="P63" s="1"/>
      <c r="Q63" s="1"/>
      <c r="R63" s="1"/>
      <c r="S63" s="1"/>
      <c r="T63" s="1"/>
    </row>
    <row r="64" spans="1:20" ht="13.5">
      <c r="A64" s="1"/>
      <c r="B64" s="1"/>
      <c r="C64" s="1"/>
      <c r="D64" s="1"/>
      <c r="E64" s="1"/>
      <c r="F64" s="1"/>
      <c r="G64" s="1"/>
      <c r="H64" s="1"/>
      <c r="I64" s="1"/>
      <c r="J64" s="1"/>
      <c r="K64" s="1"/>
      <c r="L64" s="1"/>
      <c r="M64" s="1"/>
      <c r="N64" s="1"/>
      <c r="O64" s="1"/>
      <c r="P64" s="1"/>
      <c r="Q64" s="1"/>
      <c r="R64" s="1"/>
      <c r="S64" s="1"/>
      <c r="T64" s="1"/>
    </row>
    <row r="65" spans="1:20" ht="13.5">
      <c r="A65" s="1"/>
      <c r="B65" s="1"/>
      <c r="C65" s="1"/>
      <c r="D65" s="1"/>
      <c r="E65" s="1"/>
      <c r="F65" s="1"/>
      <c r="G65" s="1"/>
      <c r="H65" s="1"/>
      <c r="I65" s="1"/>
      <c r="J65" s="1"/>
      <c r="K65" s="1"/>
      <c r="L65" s="1"/>
      <c r="M65" s="1"/>
      <c r="N65" s="1"/>
      <c r="O65" s="1"/>
      <c r="P65" s="1"/>
      <c r="Q65" s="1"/>
      <c r="R65" s="1"/>
      <c r="S65" s="1"/>
      <c r="T65" s="1"/>
    </row>
    <row r="66" spans="1:20" ht="13.5">
      <c r="A66" s="1"/>
      <c r="B66" s="1"/>
      <c r="C66" s="1"/>
      <c r="D66" s="1"/>
      <c r="E66" s="1"/>
      <c r="F66" s="1"/>
      <c r="G66" s="1"/>
      <c r="H66" s="1"/>
      <c r="I66" s="1"/>
      <c r="J66" s="1"/>
      <c r="K66" s="1"/>
      <c r="L66" s="1"/>
      <c r="M66" s="1"/>
      <c r="N66" s="1"/>
      <c r="O66" s="1"/>
      <c r="P66" s="1"/>
      <c r="Q66" s="1"/>
      <c r="R66" s="1"/>
      <c r="S66" s="1"/>
      <c r="T66" s="1"/>
    </row>
    <row r="67" spans="1:20" ht="13.5">
      <c r="A67" s="1"/>
      <c r="B67" s="1"/>
      <c r="C67" s="1"/>
      <c r="D67" s="1"/>
      <c r="E67" s="1"/>
      <c r="F67" s="1"/>
      <c r="G67" s="1"/>
      <c r="H67" s="1"/>
      <c r="I67" s="1"/>
      <c r="J67" s="1"/>
      <c r="K67" s="1"/>
      <c r="L67" s="1"/>
      <c r="M67" s="1"/>
      <c r="N67" s="1"/>
      <c r="O67" s="1"/>
      <c r="P67" s="1"/>
      <c r="Q67" s="1"/>
      <c r="R67" s="1"/>
      <c r="S67" s="1"/>
      <c r="T67" s="1"/>
    </row>
    <row r="68" spans="1:20" ht="13.5">
      <c r="A68" s="1"/>
      <c r="B68" s="1"/>
      <c r="C68" s="1"/>
      <c r="D68" s="1"/>
      <c r="E68" s="1"/>
      <c r="F68" s="1"/>
      <c r="G68" s="1"/>
      <c r="H68" s="1"/>
      <c r="I68" s="1"/>
      <c r="J68" s="1"/>
      <c r="K68" s="1"/>
      <c r="L68" s="1"/>
      <c r="M68" s="1"/>
      <c r="N68" s="1"/>
      <c r="O68" s="1"/>
      <c r="P68" s="1"/>
      <c r="Q68" s="1"/>
      <c r="R68" s="1"/>
      <c r="S68" s="1"/>
      <c r="T68" s="1"/>
    </row>
    <row r="69" spans="1:20" ht="13.5">
      <c r="A69" s="1"/>
      <c r="B69" s="1"/>
      <c r="C69" s="1"/>
      <c r="D69" s="1"/>
      <c r="E69" s="1"/>
      <c r="F69" s="1"/>
      <c r="G69" s="1"/>
      <c r="H69" s="1"/>
      <c r="I69" s="1"/>
      <c r="J69" s="1"/>
      <c r="K69" s="1"/>
      <c r="L69" s="1"/>
      <c r="M69" s="1"/>
      <c r="N69" s="1"/>
      <c r="O69" s="1"/>
      <c r="P69" s="1"/>
      <c r="Q69" s="1"/>
      <c r="R69" s="1"/>
      <c r="S69" s="1"/>
      <c r="T69" s="1"/>
    </row>
    <row r="70" spans="1:20" ht="13.5">
      <c r="A70" s="1"/>
      <c r="B70" s="1"/>
      <c r="C70" s="1"/>
      <c r="D70" s="1"/>
      <c r="E70" s="1"/>
      <c r="F70" s="1"/>
      <c r="G70" s="1"/>
      <c r="H70" s="1"/>
      <c r="I70" s="1"/>
      <c r="J70" s="1"/>
      <c r="K70" s="1"/>
      <c r="L70" s="1"/>
      <c r="M70" s="1"/>
      <c r="N70" s="1"/>
      <c r="O70" s="1"/>
      <c r="P70" s="1"/>
      <c r="Q70" s="1"/>
      <c r="R70" s="1"/>
      <c r="S70" s="1"/>
      <c r="T70" s="1"/>
    </row>
    <row r="71" spans="1:20" ht="13.5">
      <c r="A71" s="1"/>
      <c r="B71" s="1"/>
      <c r="C71" s="1"/>
      <c r="D71" s="1"/>
      <c r="E71" s="1"/>
      <c r="F71" s="1"/>
      <c r="G71" s="1"/>
      <c r="H71" s="1"/>
      <c r="I71" s="1"/>
      <c r="J71" s="1"/>
      <c r="K71" s="1"/>
      <c r="L71" s="1"/>
      <c r="M71" s="1"/>
      <c r="N71" s="1"/>
      <c r="O71" s="1"/>
      <c r="P71" s="1"/>
      <c r="Q71" s="1"/>
      <c r="R71" s="1"/>
      <c r="S71" s="1"/>
      <c r="T71" s="1"/>
    </row>
    <row r="72" spans="1:20" ht="13.5">
      <c r="A72" s="1"/>
      <c r="B72" s="1"/>
      <c r="C72" s="1"/>
      <c r="D72" s="1"/>
      <c r="E72" s="1"/>
      <c r="F72" s="1"/>
      <c r="G72" s="1"/>
      <c r="H72" s="1"/>
      <c r="I72" s="1"/>
      <c r="J72" s="1"/>
      <c r="K72" s="1"/>
      <c r="L72" s="1"/>
      <c r="M72" s="1"/>
      <c r="N72" s="1"/>
      <c r="O72" s="1"/>
      <c r="P72" s="1"/>
      <c r="Q72" s="1"/>
      <c r="R72" s="1"/>
      <c r="S72" s="1"/>
      <c r="T72" s="1"/>
    </row>
    <row r="73" spans="1:20" ht="13.5">
      <c r="A73" s="1"/>
      <c r="B73" s="1"/>
      <c r="C73" s="1"/>
      <c r="D73" s="1"/>
      <c r="E73" s="1"/>
      <c r="F73" s="1"/>
      <c r="G73" s="1"/>
      <c r="H73" s="1"/>
      <c r="I73" s="1"/>
      <c r="J73" s="1"/>
      <c r="K73" s="1"/>
      <c r="L73" s="1"/>
      <c r="M73" s="1"/>
      <c r="N73" s="1"/>
      <c r="O73" s="1"/>
      <c r="P73" s="1"/>
      <c r="Q73" s="1"/>
      <c r="R73" s="1"/>
      <c r="S73" s="1"/>
      <c r="T73" s="1"/>
    </row>
    <row r="74" spans="1:20" ht="13.5">
      <c r="A74" s="1"/>
      <c r="B74" s="1"/>
      <c r="C74" s="1"/>
      <c r="D74" s="1"/>
      <c r="E74" s="1"/>
      <c r="F74" s="1"/>
      <c r="G74" s="1"/>
      <c r="H74" s="1"/>
      <c r="I74" s="1"/>
      <c r="J74" s="1"/>
      <c r="K74" s="1"/>
      <c r="L74" s="1"/>
      <c r="M74" s="1"/>
      <c r="N74" s="1"/>
      <c r="O74" s="1"/>
      <c r="P74" s="1"/>
      <c r="Q74" s="1"/>
      <c r="R74" s="1"/>
      <c r="S74" s="1"/>
      <c r="T74" s="1"/>
    </row>
    <row r="75" spans="1:20" ht="13.5">
      <c r="A75" s="1"/>
      <c r="B75" s="1"/>
      <c r="C75" s="1"/>
      <c r="D75" s="1"/>
      <c r="E75" s="1"/>
      <c r="F75" s="1"/>
      <c r="G75" s="1"/>
      <c r="H75" s="1"/>
      <c r="I75" s="1"/>
      <c r="J75" s="1"/>
      <c r="K75" s="1"/>
      <c r="L75" s="1"/>
      <c r="M75" s="1"/>
      <c r="N75" s="1"/>
      <c r="O75" s="1"/>
      <c r="P75" s="1"/>
      <c r="Q75" s="1"/>
      <c r="R75" s="1"/>
      <c r="S75" s="1"/>
      <c r="T75" s="1"/>
    </row>
    <row r="76" spans="1:20" ht="13.5">
      <c r="A76" s="1"/>
      <c r="B76" s="1"/>
      <c r="C76" s="1"/>
      <c r="D76" s="1"/>
      <c r="E76" s="1"/>
      <c r="F76" s="1"/>
      <c r="G76" s="1"/>
      <c r="H76" s="1"/>
      <c r="I76" s="1"/>
      <c r="J76" s="1"/>
      <c r="K76" s="1"/>
      <c r="L76" s="1"/>
      <c r="M76" s="1"/>
      <c r="N76" s="1"/>
      <c r="O76" s="1"/>
      <c r="P76" s="1"/>
      <c r="Q76" s="1"/>
      <c r="R76" s="1"/>
      <c r="S76" s="1"/>
      <c r="T76" s="1"/>
    </row>
    <row r="77" spans="1:20" ht="13.5">
      <c r="A77" s="1"/>
      <c r="B77" s="1"/>
      <c r="C77" s="1"/>
      <c r="D77" s="1"/>
      <c r="E77" s="1"/>
      <c r="F77" s="1"/>
      <c r="G77" s="1"/>
      <c r="H77" s="1"/>
      <c r="I77" s="1"/>
      <c r="J77" s="1"/>
      <c r="K77" s="1"/>
      <c r="L77" s="1"/>
      <c r="M77" s="1"/>
      <c r="N77" s="1"/>
      <c r="O77" s="1"/>
      <c r="P77" s="1"/>
      <c r="Q77" s="1"/>
      <c r="R77" s="1"/>
      <c r="S77" s="1"/>
      <c r="T77" s="1"/>
    </row>
    <row r="78" spans="1:20" ht="13.5">
      <c r="A78" s="1"/>
      <c r="B78" s="1"/>
      <c r="C78" s="1"/>
      <c r="D78" s="1"/>
      <c r="E78" s="1"/>
      <c r="F78" s="1"/>
      <c r="G78" s="1"/>
      <c r="H78" s="1"/>
      <c r="I78" s="1"/>
      <c r="J78" s="1"/>
      <c r="K78" s="1"/>
      <c r="L78" s="1"/>
      <c r="M78" s="1"/>
      <c r="N78" s="1"/>
      <c r="O78" s="1"/>
      <c r="P78" s="1"/>
      <c r="Q78" s="1"/>
      <c r="R78" s="1"/>
      <c r="S78" s="1"/>
      <c r="T78" s="1"/>
    </row>
    <row r="79" spans="1:20" ht="13.5">
      <c r="A79" s="1"/>
      <c r="B79" s="1"/>
      <c r="C79" s="1"/>
      <c r="D79" s="1"/>
      <c r="E79" s="1"/>
      <c r="F79" s="1"/>
      <c r="G79" s="1"/>
      <c r="H79" s="1"/>
      <c r="I79" s="1"/>
      <c r="J79" s="1"/>
      <c r="K79" s="1"/>
      <c r="L79" s="1"/>
      <c r="M79" s="1"/>
      <c r="N79" s="1"/>
      <c r="O79" s="1"/>
      <c r="P79" s="1"/>
      <c r="Q79" s="1"/>
      <c r="R79" s="1"/>
      <c r="S79" s="1"/>
      <c r="T79" s="1"/>
    </row>
    <row r="80" spans="1:20" ht="13.5">
      <c r="A80" s="1"/>
      <c r="B80" s="1"/>
      <c r="C80" s="1"/>
      <c r="D80" s="1"/>
      <c r="E80" s="1"/>
      <c r="F80" s="1"/>
      <c r="G80" s="1"/>
      <c r="H80" s="1"/>
      <c r="I80" s="1"/>
      <c r="J80" s="1"/>
      <c r="K80" s="1"/>
      <c r="L80" s="1"/>
      <c r="M80" s="1"/>
      <c r="N80" s="1"/>
      <c r="O80" s="1"/>
      <c r="P80" s="1"/>
      <c r="Q80" s="1"/>
      <c r="R80" s="1"/>
      <c r="S80" s="1"/>
      <c r="T80" s="1"/>
    </row>
    <row r="81" spans="1:20" ht="13.5">
      <c r="A81" s="1"/>
      <c r="B81" s="1"/>
      <c r="C81" s="1"/>
      <c r="D81" s="1"/>
      <c r="E81" s="1"/>
      <c r="F81" s="1"/>
      <c r="G81" s="1"/>
      <c r="H81" s="1"/>
      <c r="I81" s="1"/>
      <c r="J81" s="1"/>
      <c r="K81" s="1"/>
      <c r="L81" s="1"/>
      <c r="M81" s="1"/>
      <c r="N81" s="1"/>
      <c r="O81" s="1"/>
      <c r="P81" s="1"/>
      <c r="Q81" s="1"/>
      <c r="R81" s="1"/>
      <c r="S81" s="1"/>
      <c r="T81" s="1"/>
    </row>
    <row r="82" spans="1:20" ht="13.5">
      <c r="A82" s="1"/>
      <c r="B82" s="1"/>
      <c r="C82" s="1"/>
      <c r="D82" s="1"/>
      <c r="E82" s="1"/>
      <c r="F82" s="1"/>
      <c r="G82" s="1"/>
      <c r="H82" s="1"/>
      <c r="I82" s="1"/>
      <c r="J82" s="1"/>
      <c r="K82" s="1"/>
      <c r="L82" s="1"/>
      <c r="M82" s="1"/>
      <c r="N82" s="1"/>
      <c r="O82" s="1"/>
      <c r="P82" s="1"/>
      <c r="Q82" s="1"/>
      <c r="R82" s="1"/>
      <c r="S82" s="1"/>
      <c r="T82" s="1"/>
    </row>
    <row r="83" spans="1:20" ht="13.5">
      <c r="A83" s="1"/>
      <c r="B83" s="1"/>
      <c r="C83" s="1"/>
      <c r="D83" s="1"/>
      <c r="E83" s="1"/>
      <c r="F83" s="1"/>
      <c r="G83" s="1"/>
      <c r="H83" s="1"/>
      <c r="I83" s="1"/>
      <c r="J83" s="1"/>
      <c r="K83" s="1"/>
      <c r="L83" s="1"/>
      <c r="M83" s="1"/>
      <c r="N83" s="1"/>
      <c r="O83" s="1"/>
      <c r="P83" s="1"/>
      <c r="Q83" s="1"/>
      <c r="R83" s="1"/>
      <c r="S83" s="1"/>
      <c r="T83" s="1"/>
    </row>
    <row r="84" spans="1:20" ht="13.5">
      <c r="A84" s="1"/>
      <c r="B84" s="1"/>
      <c r="C84" s="1"/>
      <c r="D84" s="1"/>
      <c r="E84" s="1"/>
      <c r="F84" s="1"/>
      <c r="G84" s="1"/>
      <c r="H84" s="1"/>
      <c r="I84" s="1"/>
      <c r="J84" s="1"/>
      <c r="K84" s="1"/>
      <c r="L84" s="1"/>
      <c r="M84" s="1"/>
      <c r="N84" s="1"/>
      <c r="O84" s="1"/>
      <c r="P84" s="1"/>
      <c r="Q84" s="1"/>
      <c r="R84" s="1"/>
      <c r="S84" s="1"/>
      <c r="T84" s="1"/>
    </row>
    <row r="85" spans="1:20" ht="13.5">
      <c r="A85" s="1"/>
      <c r="B85" s="1"/>
      <c r="C85" s="1"/>
      <c r="D85" s="1"/>
      <c r="E85" s="1"/>
      <c r="F85" s="1"/>
      <c r="G85" s="1"/>
      <c r="H85" s="1"/>
      <c r="I85" s="1"/>
      <c r="J85" s="1"/>
      <c r="K85" s="1"/>
      <c r="L85" s="1"/>
      <c r="M85" s="1"/>
      <c r="N85" s="1"/>
      <c r="O85" s="1"/>
      <c r="P85" s="1"/>
      <c r="Q85" s="1"/>
      <c r="R85" s="1"/>
      <c r="S85" s="1"/>
      <c r="T85" s="1"/>
    </row>
    <row r="86" spans="1:20" ht="13.5">
      <c r="A86" s="1"/>
      <c r="B86" s="1"/>
      <c r="C86" s="1"/>
      <c r="D86" s="1"/>
      <c r="E86" s="1"/>
      <c r="F86" s="1"/>
      <c r="G86" s="1"/>
      <c r="H86" s="1"/>
      <c r="I86" s="1"/>
      <c r="J86" s="1"/>
      <c r="K86" s="1"/>
      <c r="L86" s="1"/>
      <c r="M86" s="1"/>
      <c r="N86" s="1"/>
      <c r="O86" s="1"/>
      <c r="P86" s="1"/>
      <c r="Q86" s="1"/>
      <c r="R86" s="1"/>
      <c r="S86" s="1"/>
      <c r="T86" s="1"/>
    </row>
    <row r="87" spans="1:20" ht="13.5">
      <c r="A87" s="1"/>
      <c r="B87" s="1"/>
      <c r="C87" s="1"/>
      <c r="D87" s="1"/>
      <c r="E87" s="1"/>
      <c r="F87" s="1"/>
      <c r="G87" s="1"/>
      <c r="H87" s="1"/>
      <c r="I87" s="1"/>
      <c r="J87" s="1"/>
      <c r="K87" s="1"/>
      <c r="L87" s="1"/>
      <c r="M87" s="1"/>
      <c r="N87" s="1"/>
      <c r="O87" s="1"/>
      <c r="P87" s="1"/>
      <c r="Q87" s="1"/>
      <c r="R87" s="1"/>
      <c r="S87" s="1"/>
      <c r="T87" s="1"/>
    </row>
    <row r="88" spans="1:20" ht="13.5">
      <c r="A88" s="1"/>
      <c r="B88" s="1"/>
      <c r="C88" s="1"/>
      <c r="D88" s="1"/>
      <c r="E88" s="1"/>
      <c r="F88" s="1"/>
      <c r="G88" s="1"/>
      <c r="H88" s="1"/>
      <c r="I88" s="1"/>
      <c r="J88" s="1"/>
      <c r="K88" s="1"/>
      <c r="L88" s="1"/>
      <c r="M88" s="1"/>
      <c r="N88" s="1"/>
      <c r="O88" s="1"/>
      <c r="P88" s="1"/>
      <c r="Q88" s="1"/>
      <c r="R88" s="1"/>
      <c r="S88" s="1"/>
      <c r="T88" s="1"/>
    </row>
    <row r="89" spans="1:20" ht="13.5">
      <c r="A89" s="1"/>
      <c r="B89" s="1"/>
      <c r="C89" s="1"/>
      <c r="D89" s="1"/>
      <c r="E89" s="1"/>
      <c r="F89" s="1"/>
      <c r="G89" s="1"/>
      <c r="H89" s="1"/>
      <c r="I89" s="1"/>
      <c r="J89" s="1"/>
      <c r="K89" s="1"/>
      <c r="L89" s="1"/>
      <c r="M89" s="1"/>
      <c r="N89" s="1"/>
      <c r="O89" s="1"/>
      <c r="P89" s="1"/>
      <c r="Q89" s="1"/>
      <c r="R89" s="1"/>
      <c r="S89" s="1"/>
      <c r="T89" s="1"/>
    </row>
    <row r="90" spans="1:20" ht="13.5">
      <c r="A90" s="1"/>
      <c r="B90" s="1"/>
      <c r="C90" s="1"/>
      <c r="D90" s="1"/>
      <c r="E90" s="1"/>
      <c r="F90" s="1"/>
      <c r="G90" s="1"/>
      <c r="H90" s="1"/>
      <c r="I90" s="1"/>
      <c r="J90" s="1"/>
      <c r="K90" s="1"/>
      <c r="L90" s="1"/>
      <c r="M90" s="1"/>
      <c r="N90" s="1"/>
      <c r="O90" s="1"/>
      <c r="P90" s="1"/>
      <c r="Q90" s="1"/>
      <c r="R90" s="1"/>
      <c r="S90" s="1"/>
      <c r="T90" s="1"/>
    </row>
    <row r="91" spans="1:20" ht="13.5">
      <c r="A91" s="1"/>
      <c r="B91" s="1"/>
      <c r="C91" s="1"/>
      <c r="D91" s="1"/>
      <c r="E91" s="1"/>
      <c r="F91" s="1"/>
      <c r="G91" s="1"/>
      <c r="H91" s="1"/>
      <c r="I91" s="1"/>
      <c r="J91" s="1"/>
      <c r="K91" s="1"/>
      <c r="L91" s="1"/>
      <c r="M91" s="1"/>
      <c r="N91" s="1"/>
      <c r="O91" s="1"/>
      <c r="P91" s="1"/>
      <c r="Q91" s="1"/>
      <c r="R91" s="1"/>
      <c r="S91" s="1"/>
      <c r="T91" s="1"/>
    </row>
    <row r="92" spans="1:20" ht="13.5">
      <c r="A92" s="1"/>
      <c r="B92" s="1"/>
      <c r="C92" s="1"/>
      <c r="D92" s="1"/>
      <c r="E92" s="1"/>
      <c r="F92" s="1"/>
      <c r="G92" s="1"/>
      <c r="H92" s="1"/>
      <c r="I92" s="1"/>
      <c r="J92" s="1"/>
      <c r="K92" s="1"/>
      <c r="L92" s="1"/>
      <c r="M92" s="1"/>
      <c r="N92" s="1"/>
      <c r="O92" s="1"/>
      <c r="P92" s="1"/>
      <c r="Q92" s="1"/>
      <c r="R92" s="1"/>
      <c r="S92" s="1"/>
      <c r="T92" s="1"/>
    </row>
    <row r="93" spans="1:20" ht="13.5">
      <c r="A93" s="1"/>
      <c r="B93" s="1"/>
      <c r="C93" s="1"/>
      <c r="D93" s="1"/>
      <c r="E93" s="1"/>
      <c r="F93" s="1"/>
      <c r="G93" s="1"/>
      <c r="H93" s="1"/>
      <c r="I93" s="1"/>
      <c r="J93" s="1"/>
      <c r="K93" s="1"/>
      <c r="L93" s="1"/>
      <c r="M93" s="1"/>
      <c r="N93" s="1"/>
      <c r="O93" s="1"/>
      <c r="P93" s="1"/>
      <c r="Q93" s="1"/>
      <c r="R93" s="1"/>
      <c r="S93" s="1"/>
      <c r="T93" s="1"/>
    </row>
    <row r="94" spans="1:20" ht="13.5">
      <c r="A94" s="1"/>
      <c r="B94" s="1"/>
      <c r="C94" s="1"/>
      <c r="D94" s="1"/>
      <c r="E94" s="1"/>
      <c r="F94" s="1"/>
      <c r="G94" s="1"/>
      <c r="H94" s="1"/>
      <c r="I94" s="1"/>
      <c r="J94" s="1"/>
      <c r="K94" s="1"/>
      <c r="L94" s="1"/>
      <c r="M94" s="1"/>
      <c r="N94" s="1"/>
      <c r="O94" s="1"/>
      <c r="P94" s="1"/>
      <c r="Q94" s="1"/>
      <c r="R94" s="1"/>
      <c r="S94" s="1"/>
      <c r="T94" s="1"/>
    </row>
    <row r="95" spans="1:20" ht="13.5">
      <c r="A95" s="1"/>
      <c r="B95" s="1"/>
      <c r="C95" s="1"/>
      <c r="D95" s="1"/>
      <c r="E95" s="1"/>
      <c r="F95" s="1"/>
      <c r="G95" s="1"/>
      <c r="H95" s="1"/>
      <c r="I95" s="1"/>
      <c r="J95" s="1"/>
      <c r="K95" s="1"/>
      <c r="L95" s="1"/>
      <c r="M95" s="1"/>
      <c r="N95" s="1"/>
      <c r="O95" s="1"/>
      <c r="P95" s="1"/>
      <c r="Q95" s="1"/>
      <c r="R95" s="1"/>
      <c r="S95" s="1"/>
      <c r="T95" s="1"/>
    </row>
    <row r="96" spans="1:20" ht="13.5">
      <c r="A96" s="1"/>
      <c r="B96" s="1"/>
      <c r="C96" s="1"/>
      <c r="D96" s="1"/>
      <c r="E96" s="1"/>
      <c r="F96" s="1"/>
      <c r="G96" s="1"/>
      <c r="H96" s="1"/>
      <c r="I96" s="1"/>
      <c r="J96" s="1"/>
      <c r="K96" s="1"/>
      <c r="L96" s="1"/>
      <c r="M96" s="1"/>
      <c r="N96" s="1"/>
      <c r="O96" s="1"/>
      <c r="P96" s="1"/>
      <c r="Q96" s="1"/>
      <c r="R96" s="1"/>
      <c r="S96" s="1"/>
      <c r="T96" s="1"/>
    </row>
    <row r="97" spans="1:20" ht="13.5">
      <c r="A97" s="1"/>
      <c r="B97" s="1"/>
      <c r="C97" s="1"/>
      <c r="D97" s="1"/>
      <c r="E97" s="1"/>
      <c r="F97" s="1"/>
      <c r="G97" s="1"/>
      <c r="H97" s="1"/>
      <c r="I97" s="1"/>
      <c r="J97" s="1"/>
      <c r="K97" s="1"/>
      <c r="L97" s="1"/>
      <c r="M97" s="1"/>
      <c r="N97" s="1"/>
      <c r="O97" s="1"/>
      <c r="P97" s="1"/>
      <c r="Q97" s="1"/>
      <c r="R97" s="1"/>
      <c r="S97" s="1"/>
      <c r="T97" s="1"/>
    </row>
    <row r="98" spans="1:20" ht="13.5">
      <c r="A98" s="1"/>
      <c r="B98" s="1"/>
      <c r="C98" s="1"/>
      <c r="D98" s="1"/>
      <c r="E98" s="1"/>
      <c r="F98" s="1"/>
      <c r="G98" s="1"/>
      <c r="H98" s="1"/>
      <c r="I98" s="1"/>
      <c r="J98" s="1"/>
      <c r="K98" s="1"/>
      <c r="L98" s="1"/>
      <c r="M98" s="1"/>
      <c r="N98" s="1"/>
      <c r="O98" s="1"/>
      <c r="P98" s="1"/>
      <c r="Q98" s="1"/>
      <c r="R98" s="1"/>
      <c r="S98" s="1"/>
      <c r="T98" s="1"/>
    </row>
    <row r="99" spans="1:20" ht="13.5">
      <c r="A99" s="1"/>
      <c r="B99" s="1"/>
      <c r="C99" s="1"/>
      <c r="D99" s="1"/>
      <c r="E99" s="1"/>
      <c r="F99" s="1"/>
      <c r="G99" s="1"/>
      <c r="H99" s="1"/>
      <c r="I99" s="1"/>
      <c r="J99" s="1"/>
      <c r="K99" s="1"/>
      <c r="L99" s="1"/>
      <c r="M99" s="1"/>
      <c r="N99" s="1"/>
      <c r="O99" s="1"/>
      <c r="P99" s="1"/>
      <c r="Q99" s="1"/>
      <c r="R99" s="1"/>
      <c r="S99" s="1"/>
      <c r="T99" s="1"/>
    </row>
    <row r="100" spans="1:20" ht="13.5">
      <c r="A100" s="1"/>
      <c r="B100" s="1"/>
      <c r="C100" s="1"/>
      <c r="D100" s="1"/>
      <c r="E100" s="1"/>
      <c r="F100" s="1"/>
      <c r="G100" s="1"/>
      <c r="H100" s="1"/>
      <c r="I100" s="1"/>
      <c r="J100" s="1"/>
      <c r="K100" s="1"/>
      <c r="L100" s="1"/>
      <c r="M100" s="1"/>
      <c r="N100" s="1"/>
      <c r="O100" s="1"/>
      <c r="P100" s="1"/>
      <c r="Q100" s="1"/>
      <c r="R100" s="1"/>
      <c r="S100" s="1"/>
      <c r="T100" s="1"/>
    </row>
    <row r="101" spans="1:20" ht="13.5">
      <c r="A101" s="1"/>
      <c r="B101" s="1"/>
      <c r="C101" s="1"/>
      <c r="D101" s="1"/>
      <c r="E101" s="1"/>
      <c r="F101" s="1"/>
      <c r="G101" s="1"/>
      <c r="H101" s="1"/>
      <c r="I101" s="1"/>
      <c r="J101" s="1"/>
      <c r="K101" s="1"/>
      <c r="L101" s="1"/>
      <c r="M101" s="1"/>
      <c r="N101" s="1"/>
      <c r="O101" s="1"/>
      <c r="P101" s="1"/>
      <c r="Q101" s="1"/>
      <c r="R101" s="1"/>
      <c r="S101" s="1"/>
      <c r="T101" s="1"/>
    </row>
    <row r="102" spans="1:20" ht="13.5">
      <c r="A102" s="1"/>
      <c r="B102" s="1"/>
      <c r="C102" s="1"/>
      <c r="D102" s="1"/>
      <c r="E102" s="1"/>
      <c r="F102" s="1"/>
      <c r="G102" s="1"/>
      <c r="H102" s="1"/>
      <c r="I102" s="1"/>
      <c r="J102" s="1"/>
      <c r="K102" s="1"/>
      <c r="L102" s="1"/>
      <c r="M102" s="1"/>
      <c r="N102" s="1"/>
      <c r="O102" s="1"/>
      <c r="P102" s="1"/>
      <c r="Q102" s="1"/>
      <c r="R102" s="1"/>
      <c r="S102" s="1"/>
      <c r="T102" s="1"/>
    </row>
    <row r="103" spans="1:20" ht="13.5">
      <c r="A103" s="1"/>
      <c r="B103" s="1"/>
      <c r="C103" s="1"/>
      <c r="D103" s="1"/>
      <c r="E103" s="1"/>
      <c r="F103" s="1"/>
      <c r="G103" s="1"/>
      <c r="H103" s="1"/>
      <c r="I103" s="1"/>
      <c r="J103" s="1"/>
      <c r="K103" s="1"/>
      <c r="L103" s="1"/>
      <c r="M103" s="1"/>
      <c r="N103" s="1"/>
      <c r="O103" s="1"/>
      <c r="P103" s="1"/>
      <c r="Q103" s="1"/>
      <c r="R103" s="1"/>
      <c r="S103" s="1"/>
      <c r="T103" s="1"/>
    </row>
    <row r="104" spans="1:20" ht="13.5">
      <c r="A104" s="1"/>
      <c r="B104" s="1"/>
      <c r="C104" s="1"/>
      <c r="D104" s="1"/>
      <c r="E104" s="1"/>
      <c r="F104" s="1"/>
      <c r="G104" s="1"/>
      <c r="H104" s="1"/>
      <c r="I104" s="1"/>
      <c r="J104" s="1"/>
      <c r="K104" s="1"/>
      <c r="L104" s="1"/>
      <c r="M104" s="1"/>
      <c r="N104" s="1"/>
      <c r="O104" s="1"/>
      <c r="P104" s="1"/>
      <c r="Q104" s="1"/>
      <c r="R104" s="1"/>
      <c r="S104" s="1"/>
      <c r="T104" s="1"/>
    </row>
    <row r="105" spans="1:20" ht="13.5">
      <c r="A105" s="1"/>
      <c r="B105" s="1"/>
      <c r="C105" s="1"/>
      <c r="D105" s="1"/>
      <c r="E105" s="1"/>
      <c r="F105" s="1"/>
      <c r="G105" s="1"/>
      <c r="H105" s="1"/>
      <c r="I105" s="1"/>
      <c r="J105" s="1"/>
      <c r="K105" s="1"/>
      <c r="L105" s="1"/>
      <c r="M105" s="1"/>
      <c r="N105" s="1"/>
      <c r="O105" s="1"/>
      <c r="P105" s="1"/>
      <c r="Q105" s="1"/>
      <c r="R105" s="1"/>
      <c r="S105" s="1"/>
      <c r="T105" s="1"/>
    </row>
    <row r="106" spans="1:20" ht="13.5">
      <c r="A106" s="1"/>
      <c r="B106" s="1"/>
      <c r="C106" s="1"/>
      <c r="D106" s="1"/>
      <c r="E106" s="1"/>
      <c r="F106" s="1"/>
      <c r="G106" s="1"/>
      <c r="H106" s="1"/>
      <c r="I106" s="1"/>
      <c r="J106" s="1"/>
      <c r="K106" s="1"/>
      <c r="L106" s="1"/>
      <c r="M106" s="1"/>
      <c r="N106" s="1"/>
      <c r="O106" s="1"/>
      <c r="P106" s="1"/>
      <c r="Q106" s="1"/>
      <c r="R106" s="1"/>
      <c r="S106" s="1"/>
      <c r="T106" s="1"/>
    </row>
    <row r="107" spans="1:20" ht="13.5">
      <c r="A107" s="1"/>
      <c r="B107" s="1"/>
      <c r="C107" s="1"/>
      <c r="D107" s="1"/>
      <c r="E107" s="1"/>
      <c r="F107" s="1"/>
      <c r="G107" s="1"/>
      <c r="H107" s="1"/>
      <c r="I107" s="1"/>
      <c r="J107" s="1"/>
      <c r="K107" s="1"/>
      <c r="L107" s="1"/>
      <c r="M107" s="1"/>
      <c r="N107" s="1"/>
      <c r="O107" s="1"/>
      <c r="P107" s="1"/>
      <c r="Q107" s="1"/>
      <c r="R107" s="1"/>
      <c r="S107" s="1"/>
      <c r="T107" s="1"/>
    </row>
    <row r="108" spans="1:20" ht="13.5">
      <c r="A108" s="1"/>
      <c r="B108" s="1"/>
      <c r="C108" s="1"/>
      <c r="D108" s="1"/>
      <c r="E108" s="1"/>
      <c r="F108" s="1"/>
      <c r="G108" s="1"/>
      <c r="H108" s="1"/>
      <c r="I108" s="1"/>
      <c r="J108" s="1"/>
      <c r="K108" s="1"/>
      <c r="L108" s="1"/>
      <c r="M108" s="1"/>
      <c r="N108" s="1"/>
      <c r="O108" s="1"/>
      <c r="P108" s="1"/>
      <c r="Q108" s="1"/>
      <c r="R108" s="1"/>
      <c r="S108" s="1"/>
      <c r="T108" s="1"/>
    </row>
    <row r="109" spans="1:20" ht="13.5">
      <c r="A109" s="1"/>
      <c r="B109" s="1"/>
      <c r="C109" s="1"/>
      <c r="D109" s="1"/>
      <c r="E109" s="1"/>
      <c r="F109" s="1"/>
      <c r="G109" s="1"/>
      <c r="H109" s="1"/>
      <c r="I109" s="1"/>
      <c r="J109" s="1"/>
      <c r="K109" s="1"/>
      <c r="L109" s="1"/>
      <c r="M109" s="1"/>
      <c r="N109" s="1"/>
      <c r="O109" s="1"/>
      <c r="P109" s="1"/>
      <c r="Q109" s="1"/>
      <c r="R109" s="1"/>
      <c r="S109" s="1"/>
      <c r="T109" s="1"/>
    </row>
    <row r="110" spans="1:20" ht="13.5">
      <c r="A110" s="1"/>
      <c r="B110" s="1"/>
      <c r="C110" s="1"/>
      <c r="D110" s="1"/>
      <c r="E110" s="1"/>
      <c r="F110" s="1"/>
      <c r="G110" s="1"/>
      <c r="H110" s="1"/>
      <c r="I110" s="1"/>
      <c r="J110" s="1"/>
      <c r="K110" s="1"/>
      <c r="L110" s="1"/>
      <c r="M110" s="1"/>
      <c r="N110" s="1"/>
      <c r="O110" s="1"/>
      <c r="P110" s="1"/>
      <c r="Q110" s="1"/>
      <c r="R110" s="1"/>
      <c r="S110" s="1"/>
      <c r="T110" s="1"/>
    </row>
    <row r="111" spans="1:20" ht="13.5">
      <c r="A111" s="1"/>
      <c r="B111" s="1"/>
      <c r="C111" s="1"/>
      <c r="D111" s="1"/>
      <c r="E111" s="1"/>
      <c r="F111" s="1"/>
      <c r="G111" s="1"/>
      <c r="H111" s="1"/>
      <c r="I111" s="1"/>
      <c r="J111" s="1"/>
      <c r="K111" s="1"/>
      <c r="L111" s="1"/>
      <c r="M111" s="1"/>
      <c r="N111" s="1"/>
      <c r="O111" s="1"/>
      <c r="P111" s="1"/>
      <c r="Q111" s="1"/>
      <c r="R111" s="1"/>
      <c r="S111" s="1"/>
      <c r="T111" s="1"/>
    </row>
    <row r="112" spans="1:20" ht="13.5">
      <c r="A112" s="1"/>
      <c r="B112" s="1"/>
      <c r="C112" s="1"/>
      <c r="D112" s="1"/>
      <c r="E112" s="1"/>
      <c r="F112" s="1"/>
      <c r="G112" s="1"/>
      <c r="H112" s="1"/>
      <c r="I112" s="1"/>
      <c r="J112" s="1"/>
      <c r="K112" s="1"/>
      <c r="L112" s="1"/>
      <c r="M112" s="1"/>
      <c r="N112" s="1"/>
      <c r="O112" s="1"/>
      <c r="P112" s="1"/>
      <c r="Q112" s="1"/>
      <c r="R112" s="1"/>
      <c r="S112" s="1"/>
      <c r="T112" s="1"/>
    </row>
    <row r="113" spans="1:20" ht="13.5">
      <c r="A113" s="1"/>
      <c r="B113" s="1"/>
      <c r="C113" s="1"/>
      <c r="D113" s="1"/>
      <c r="E113" s="1"/>
      <c r="F113" s="1"/>
      <c r="G113" s="1"/>
      <c r="H113" s="1"/>
      <c r="I113" s="1"/>
      <c r="J113" s="1"/>
      <c r="K113" s="1"/>
      <c r="L113" s="1"/>
      <c r="M113" s="1"/>
      <c r="N113" s="1"/>
      <c r="O113" s="1"/>
      <c r="P113" s="1"/>
      <c r="Q113" s="1"/>
      <c r="R113" s="1"/>
      <c r="S113" s="1"/>
      <c r="T113" s="1"/>
    </row>
    <row r="114" spans="1:20" ht="13.5">
      <c r="A114" s="1"/>
      <c r="B114" s="1"/>
      <c r="C114" s="1"/>
      <c r="D114" s="1"/>
      <c r="E114" s="1"/>
      <c r="F114" s="1"/>
      <c r="G114" s="1"/>
      <c r="H114" s="1"/>
      <c r="I114" s="1"/>
      <c r="J114" s="1"/>
      <c r="K114" s="1"/>
      <c r="L114" s="1"/>
      <c r="M114" s="1"/>
      <c r="N114" s="1"/>
      <c r="O114" s="1"/>
      <c r="P114" s="1"/>
      <c r="Q114" s="1"/>
      <c r="R114" s="1"/>
      <c r="S114" s="1"/>
      <c r="T114" s="1"/>
    </row>
    <row r="115" spans="1:20" ht="13.5">
      <c r="A115" s="1"/>
      <c r="B115" s="1"/>
      <c r="C115" s="1"/>
      <c r="D115" s="1"/>
      <c r="E115" s="1"/>
      <c r="F115" s="1"/>
      <c r="G115" s="1"/>
      <c r="H115" s="1"/>
      <c r="I115" s="1"/>
      <c r="J115" s="1"/>
      <c r="K115" s="1"/>
      <c r="L115" s="1"/>
      <c r="M115" s="1"/>
      <c r="N115" s="1"/>
      <c r="O115" s="1"/>
      <c r="P115" s="1"/>
      <c r="Q115" s="1"/>
      <c r="R115" s="1"/>
      <c r="S115" s="1"/>
      <c r="T115" s="1"/>
    </row>
    <row r="116" spans="1:20" ht="13.5">
      <c r="A116" s="1"/>
      <c r="B116" s="1"/>
      <c r="C116" s="1"/>
      <c r="D116" s="1"/>
      <c r="E116" s="1"/>
      <c r="F116" s="1"/>
      <c r="G116" s="1"/>
      <c r="H116" s="1"/>
      <c r="I116" s="1"/>
      <c r="J116" s="1"/>
      <c r="K116" s="1"/>
      <c r="L116" s="1"/>
      <c r="M116" s="1"/>
      <c r="N116" s="1"/>
      <c r="O116" s="1"/>
      <c r="P116" s="1"/>
      <c r="Q116" s="1"/>
      <c r="R116" s="1"/>
      <c r="S116" s="1"/>
      <c r="T116" s="1"/>
    </row>
    <row r="117" spans="1:20" ht="13.5">
      <c r="A117" s="1"/>
      <c r="B117" s="1"/>
      <c r="C117" s="1"/>
      <c r="D117" s="1"/>
      <c r="E117" s="1"/>
      <c r="F117" s="1"/>
      <c r="G117" s="1"/>
      <c r="H117" s="1"/>
      <c r="I117" s="1"/>
      <c r="J117" s="1"/>
      <c r="K117" s="1"/>
      <c r="L117" s="1"/>
      <c r="M117" s="1"/>
      <c r="N117" s="1"/>
      <c r="O117" s="1"/>
      <c r="P117" s="1"/>
      <c r="Q117" s="1"/>
      <c r="R117" s="1"/>
      <c r="S117" s="1"/>
      <c r="T117" s="1"/>
    </row>
    <row r="118" spans="1:20" ht="13.5">
      <c r="A118" s="1"/>
      <c r="B118" s="1"/>
      <c r="C118" s="1"/>
      <c r="D118" s="1"/>
      <c r="E118" s="1"/>
      <c r="F118" s="1"/>
      <c r="G118" s="1"/>
      <c r="H118" s="1"/>
      <c r="I118" s="1"/>
      <c r="J118" s="1"/>
      <c r="K118" s="1"/>
      <c r="L118" s="1"/>
      <c r="M118" s="1"/>
      <c r="N118" s="1"/>
      <c r="O118" s="1"/>
      <c r="P118" s="1"/>
      <c r="Q118" s="1"/>
      <c r="R118" s="1"/>
      <c r="S118" s="1"/>
      <c r="T118" s="1"/>
    </row>
    <row r="119" spans="1:20" ht="13.5">
      <c r="A119" s="1"/>
      <c r="B119" s="1"/>
      <c r="C119" s="1"/>
      <c r="D119" s="1"/>
      <c r="E119" s="1"/>
      <c r="F119" s="1"/>
      <c r="G119" s="1"/>
      <c r="H119" s="1"/>
      <c r="I119" s="1"/>
      <c r="J119" s="1"/>
      <c r="K119" s="1"/>
      <c r="L119" s="1"/>
      <c r="M119" s="1"/>
      <c r="N119" s="1"/>
      <c r="O119" s="1"/>
      <c r="P119" s="1"/>
      <c r="Q119" s="1"/>
      <c r="R119" s="1"/>
      <c r="S119" s="1"/>
      <c r="T119" s="1"/>
    </row>
    <row r="120" spans="1:20" ht="13.5">
      <c r="A120" s="1"/>
      <c r="B120" s="1"/>
      <c r="C120" s="1"/>
      <c r="D120" s="1"/>
      <c r="E120" s="1"/>
      <c r="F120" s="1"/>
      <c r="G120" s="1"/>
      <c r="H120" s="1"/>
      <c r="I120" s="1"/>
      <c r="J120" s="1"/>
      <c r="K120" s="1"/>
      <c r="L120" s="1"/>
      <c r="M120" s="1"/>
      <c r="N120" s="1"/>
      <c r="O120" s="1"/>
      <c r="P120" s="1"/>
      <c r="Q120" s="1"/>
      <c r="R120" s="1"/>
      <c r="S120" s="1"/>
      <c r="T120" s="1"/>
    </row>
    <row r="121" spans="1:20" ht="13.5">
      <c r="A121" s="1"/>
      <c r="B121" s="1"/>
      <c r="C121" s="1"/>
      <c r="D121" s="1"/>
      <c r="E121" s="1"/>
      <c r="F121" s="1"/>
      <c r="G121" s="1"/>
      <c r="H121" s="1"/>
      <c r="I121" s="1"/>
      <c r="J121" s="1"/>
      <c r="K121" s="1"/>
      <c r="L121" s="1"/>
      <c r="M121" s="1"/>
      <c r="N121" s="1"/>
      <c r="O121" s="1"/>
      <c r="P121" s="1"/>
      <c r="Q121" s="1"/>
      <c r="R121" s="1"/>
      <c r="S121" s="1"/>
      <c r="T121" s="1"/>
    </row>
    <row r="122" spans="1:20" ht="13.5">
      <c r="A122" s="1"/>
      <c r="B122" s="1"/>
      <c r="C122" s="1"/>
      <c r="D122" s="1"/>
      <c r="E122" s="1"/>
      <c r="F122" s="1"/>
      <c r="G122" s="1"/>
      <c r="H122" s="1"/>
      <c r="I122" s="1"/>
      <c r="J122" s="1"/>
      <c r="K122" s="1"/>
      <c r="L122" s="1"/>
      <c r="M122" s="1"/>
      <c r="N122" s="1"/>
      <c r="O122" s="1"/>
      <c r="P122" s="1"/>
      <c r="Q122" s="1"/>
      <c r="R122" s="1"/>
      <c r="S122" s="1"/>
      <c r="T122" s="1"/>
    </row>
    <row r="123" spans="1:20" ht="13.5">
      <c r="A123" s="1"/>
      <c r="B123" s="1"/>
      <c r="C123" s="1"/>
      <c r="D123" s="1"/>
      <c r="E123" s="1"/>
      <c r="F123" s="1"/>
      <c r="G123" s="1"/>
      <c r="H123" s="1"/>
      <c r="I123" s="1"/>
      <c r="J123" s="1"/>
      <c r="K123" s="1"/>
      <c r="L123" s="1"/>
      <c r="M123" s="1"/>
      <c r="N123" s="1"/>
      <c r="O123" s="1"/>
      <c r="P123" s="1"/>
      <c r="Q123" s="1"/>
      <c r="R123" s="1"/>
      <c r="S123" s="1"/>
      <c r="T123" s="1"/>
    </row>
    <row r="124" spans="1:20" ht="13.5">
      <c r="A124" s="1"/>
      <c r="B124" s="1"/>
      <c r="C124" s="1"/>
      <c r="D124" s="1"/>
      <c r="E124" s="1"/>
      <c r="F124" s="1"/>
      <c r="G124" s="1"/>
      <c r="H124" s="1"/>
      <c r="I124" s="1"/>
      <c r="J124" s="1"/>
      <c r="K124" s="1"/>
      <c r="L124" s="1"/>
      <c r="M124" s="1"/>
      <c r="N124" s="1"/>
      <c r="O124" s="1"/>
      <c r="P124" s="1"/>
      <c r="Q124" s="1"/>
      <c r="R124" s="1"/>
      <c r="S124" s="1"/>
      <c r="T124" s="1"/>
    </row>
    <row r="125" spans="1:20" ht="13.5">
      <c r="A125" s="1"/>
      <c r="B125" s="1"/>
      <c r="C125" s="1"/>
      <c r="D125" s="1"/>
      <c r="E125" s="1"/>
      <c r="F125" s="1"/>
      <c r="G125" s="1"/>
      <c r="H125" s="1"/>
      <c r="I125" s="1"/>
      <c r="J125" s="1"/>
      <c r="K125" s="1"/>
      <c r="L125" s="1"/>
      <c r="M125" s="1"/>
      <c r="N125" s="1"/>
      <c r="O125" s="1"/>
      <c r="P125" s="1"/>
      <c r="Q125" s="1"/>
      <c r="R125" s="1"/>
      <c r="S125" s="1"/>
      <c r="T125" s="1"/>
    </row>
    <row r="126" spans="1:20" ht="13.5">
      <c r="A126" s="1"/>
      <c r="B126" s="1"/>
      <c r="C126" s="1"/>
      <c r="D126" s="1"/>
      <c r="E126" s="1"/>
      <c r="F126" s="1"/>
      <c r="G126" s="1"/>
      <c r="H126" s="1"/>
      <c r="I126" s="1"/>
      <c r="J126" s="1"/>
      <c r="K126" s="1"/>
      <c r="L126" s="1"/>
      <c r="M126" s="1"/>
      <c r="N126" s="1"/>
      <c r="O126" s="1"/>
      <c r="P126" s="1"/>
      <c r="Q126" s="1"/>
      <c r="R126" s="1"/>
      <c r="S126" s="1"/>
      <c r="T126" s="1"/>
    </row>
    <row r="127" spans="1:20" ht="13.5">
      <c r="A127" s="1"/>
      <c r="B127" s="1"/>
      <c r="C127" s="1"/>
      <c r="D127" s="1"/>
      <c r="E127" s="1"/>
      <c r="F127" s="1"/>
      <c r="G127" s="1"/>
      <c r="H127" s="1"/>
      <c r="I127" s="1"/>
      <c r="J127" s="1"/>
      <c r="K127" s="1"/>
      <c r="L127" s="1"/>
      <c r="M127" s="1"/>
      <c r="N127" s="1"/>
      <c r="O127" s="1"/>
      <c r="P127" s="1"/>
      <c r="Q127" s="1"/>
      <c r="R127" s="1"/>
      <c r="S127" s="1"/>
      <c r="T127" s="1"/>
    </row>
    <row r="128" spans="1:20" ht="13.5">
      <c r="A128" s="1"/>
      <c r="B128" s="1"/>
      <c r="C128" s="1"/>
      <c r="D128" s="1"/>
      <c r="E128" s="1"/>
      <c r="F128" s="1"/>
      <c r="G128" s="1"/>
      <c r="H128" s="1"/>
      <c r="I128" s="1"/>
      <c r="J128" s="1"/>
      <c r="K128" s="1"/>
      <c r="L128" s="1"/>
      <c r="M128" s="1"/>
      <c r="N128" s="1"/>
      <c r="O128" s="1"/>
      <c r="P128" s="1"/>
      <c r="Q128" s="1"/>
      <c r="R128" s="1"/>
      <c r="S128" s="1"/>
      <c r="T128" s="1"/>
    </row>
    <row r="129" spans="1:20" ht="13.5">
      <c r="A129" s="1"/>
      <c r="B129" s="1"/>
      <c r="C129" s="1"/>
      <c r="D129" s="1"/>
      <c r="E129" s="1"/>
      <c r="F129" s="1"/>
      <c r="G129" s="1"/>
      <c r="H129" s="1"/>
      <c r="I129" s="1"/>
      <c r="J129" s="1"/>
      <c r="K129" s="1"/>
      <c r="L129" s="1"/>
      <c r="M129" s="1"/>
      <c r="N129" s="1"/>
      <c r="O129" s="1"/>
      <c r="P129" s="1"/>
      <c r="Q129" s="1"/>
      <c r="R129" s="1"/>
      <c r="S129" s="1"/>
      <c r="T129" s="1"/>
    </row>
    <row r="130" spans="1:20" ht="13.5">
      <c r="A130" s="1"/>
      <c r="B130" s="1"/>
      <c r="C130" s="1"/>
      <c r="D130" s="1"/>
      <c r="E130" s="1"/>
      <c r="F130" s="1"/>
      <c r="G130" s="1"/>
      <c r="H130" s="1"/>
      <c r="I130" s="1"/>
      <c r="J130" s="1"/>
      <c r="K130" s="1"/>
      <c r="L130" s="1"/>
      <c r="M130" s="1"/>
      <c r="N130" s="1"/>
      <c r="O130" s="1"/>
      <c r="P130" s="1"/>
      <c r="Q130" s="1"/>
      <c r="R130" s="1"/>
      <c r="S130" s="1"/>
      <c r="T130" s="1"/>
    </row>
    <row r="131" spans="1:20" ht="13.5">
      <c r="A131" s="1"/>
      <c r="B131" s="1"/>
      <c r="C131" s="1"/>
      <c r="D131" s="1"/>
      <c r="E131" s="1"/>
      <c r="F131" s="1"/>
      <c r="G131" s="1"/>
      <c r="H131" s="1"/>
      <c r="I131" s="1"/>
      <c r="J131" s="1"/>
      <c r="K131" s="1"/>
      <c r="L131" s="1"/>
      <c r="M131" s="1"/>
      <c r="N131" s="1"/>
      <c r="O131" s="1"/>
      <c r="P131" s="1"/>
      <c r="Q131" s="1"/>
      <c r="R131" s="1"/>
      <c r="S131" s="1"/>
      <c r="T131" s="1"/>
    </row>
    <row r="132" spans="1:20" ht="13.5">
      <c r="A132" s="1"/>
      <c r="B132" s="1"/>
      <c r="C132" s="1"/>
      <c r="D132" s="1"/>
      <c r="E132" s="1"/>
      <c r="F132" s="1"/>
      <c r="G132" s="1"/>
      <c r="H132" s="1"/>
      <c r="I132" s="1"/>
      <c r="J132" s="1"/>
      <c r="K132" s="1"/>
      <c r="L132" s="1"/>
      <c r="M132" s="1"/>
      <c r="N132" s="1"/>
      <c r="O132" s="1"/>
      <c r="P132" s="1"/>
      <c r="Q132" s="1"/>
      <c r="R132" s="1"/>
      <c r="S132" s="1"/>
      <c r="T132" s="1"/>
    </row>
    <row r="133" spans="1:20" ht="13.5">
      <c r="A133" s="1"/>
      <c r="B133" s="1"/>
      <c r="C133" s="1"/>
      <c r="D133" s="1"/>
      <c r="E133" s="1"/>
      <c r="F133" s="1"/>
      <c r="G133" s="1"/>
      <c r="H133" s="1"/>
      <c r="I133" s="1"/>
      <c r="J133" s="1"/>
      <c r="K133" s="1"/>
      <c r="L133" s="1"/>
      <c r="M133" s="1"/>
      <c r="N133" s="1"/>
      <c r="O133" s="1"/>
      <c r="P133" s="1"/>
      <c r="Q133" s="1"/>
      <c r="R133" s="1"/>
      <c r="S133" s="1"/>
      <c r="T133" s="1"/>
    </row>
    <row r="134" spans="1:20" ht="13.5">
      <c r="A134" s="1"/>
      <c r="B134" s="1"/>
      <c r="C134" s="1"/>
      <c r="D134" s="1"/>
      <c r="E134" s="1"/>
      <c r="F134" s="1"/>
      <c r="G134" s="1"/>
      <c r="H134" s="1"/>
      <c r="I134" s="1"/>
      <c r="J134" s="1"/>
      <c r="K134" s="1"/>
      <c r="L134" s="1"/>
      <c r="M134" s="1"/>
      <c r="N134" s="1"/>
      <c r="O134" s="1"/>
      <c r="P134" s="1"/>
      <c r="Q134" s="1"/>
      <c r="R134" s="1"/>
      <c r="S134" s="1"/>
      <c r="T134" s="1"/>
    </row>
    <row r="135" spans="1:20" ht="13.5">
      <c r="A135" s="1"/>
      <c r="B135" s="1"/>
      <c r="C135" s="1"/>
      <c r="D135" s="1"/>
      <c r="E135" s="1"/>
      <c r="F135" s="1"/>
      <c r="G135" s="1"/>
      <c r="H135" s="1"/>
      <c r="I135" s="1"/>
      <c r="J135" s="1"/>
      <c r="K135" s="1"/>
      <c r="L135" s="1"/>
      <c r="M135" s="1"/>
      <c r="N135" s="1"/>
      <c r="O135" s="1"/>
      <c r="P135" s="1"/>
      <c r="Q135" s="1"/>
      <c r="R135" s="1"/>
      <c r="S135" s="1"/>
      <c r="T135" s="1"/>
    </row>
    <row r="136" spans="1:20" ht="13.5">
      <c r="A136" s="1"/>
      <c r="B136" s="1"/>
      <c r="C136" s="1"/>
      <c r="D136" s="1"/>
      <c r="E136" s="1"/>
      <c r="F136" s="1"/>
      <c r="G136" s="1"/>
      <c r="H136" s="1"/>
      <c r="I136" s="1"/>
      <c r="J136" s="1"/>
      <c r="K136" s="1"/>
      <c r="L136" s="1"/>
      <c r="M136" s="1"/>
      <c r="N136" s="1"/>
      <c r="O136" s="1"/>
      <c r="P136" s="1"/>
      <c r="Q136" s="1"/>
      <c r="R136" s="1"/>
      <c r="S136" s="1"/>
      <c r="T136" s="1"/>
    </row>
    <row r="137" spans="1:20" ht="13.5">
      <c r="A137" s="1"/>
      <c r="B137" s="1"/>
      <c r="C137" s="1"/>
      <c r="D137" s="1"/>
      <c r="E137" s="1"/>
      <c r="F137" s="1"/>
      <c r="G137" s="1"/>
      <c r="H137" s="1"/>
      <c r="I137" s="1"/>
      <c r="J137" s="1"/>
      <c r="K137" s="1"/>
      <c r="L137" s="1"/>
      <c r="M137" s="1"/>
      <c r="N137" s="1"/>
      <c r="O137" s="1"/>
      <c r="P137" s="1"/>
      <c r="Q137" s="1"/>
      <c r="R137" s="1"/>
      <c r="S137" s="1"/>
      <c r="T137" s="1"/>
    </row>
    <row r="138" spans="1:20" ht="13.5">
      <c r="A138" s="1"/>
      <c r="B138" s="1"/>
      <c r="C138" s="1"/>
      <c r="D138" s="1"/>
      <c r="E138" s="1"/>
      <c r="F138" s="1"/>
      <c r="G138" s="1"/>
      <c r="H138" s="1"/>
      <c r="I138" s="1"/>
      <c r="J138" s="1"/>
      <c r="K138" s="1"/>
      <c r="L138" s="1"/>
      <c r="M138" s="1"/>
      <c r="N138" s="1"/>
      <c r="O138" s="1"/>
      <c r="P138" s="1"/>
      <c r="Q138" s="1"/>
      <c r="R138" s="1"/>
      <c r="S138" s="1"/>
      <c r="T138" s="1"/>
    </row>
    <row r="139" spans="1:20" ht="13.5">
      <c r="A139" s="1"/>
      <c r="B139" s="1"/>
      <c r="C139" s="1"/>
      <c r="D139" s="1"/>
      <c r="E139" s="1"/>
      <c r="F139" s="1"/>
      <c r="G139" s="1"/>
      <c r="H139" s="1"/>
      <c r="I139" s="1"/>
      <c r="J139" s="1"/>
      <c r="K139" s="1"/>
      <c r="L139" s="1"/>
      <c r="M139" s="1"/>
      <c r="N139" s="1"/>
      <c r="O139" s="1"/>
      <c r="P139" s="1"/>
      <c r="Q139" s="1"/>
      <c r="R139" s="1"/>
      <c r="S139" s="1"/>
      <c r="T139" s="1"/>
    </row>
    <row r="140" spans="1:20" ht="13.5">
      <c r="A140" s="1"/>
      <c r="B140" s="1"/>
      <c r="C140" s="1"/>
      <c r="D140" s="1"/>
      <c r="E140" s="1"/>
      <c r="F140" s="1"/>
      <c r="G140" s="1"/>
      <c r="H140" s="1"/>
      <c r="I140" s="1"/>
      <c r="J140" s="1"/>
      <c r="K140" s="1"/>
      <c r="L140" s="1"/>
      <c r="M140" s="1"/>
      <c r="N140" s="1"/>
      <c r="O140" s="1"/>
      <c r="P140" s="1"/>
      <c r="Q140" s="1"/>
      <c r="R140" s="1"/>
      <c r="S140" s="1"/>
      <c r="T140" s="1"/>
    </row>
    <row r="141" spans="1:20" ht="13.5">
      <c r="A141" s="1"/>
      <c r="B141" s="1"/>
      <c r="C141" s="1"/>
      <c r="D141" s="1"/>
      <c r="E141" s="1"/>
      <c r="F141" s="1"/>
      <c r="G141" s="1"/>
      <c r="H141" s="1"/>
      <c r="I141" s="1"/>
      <c r="J141" s="1"/>
      <c r="K141" s="1"/>
      <c r="L141" s="1"/>
      <c r="M141" s="1"/>
      <c r="N141" s="1"/>
      <c r="O141" s="1"/>
      <c r="P141" s="1"/>
      <c r="Q141" s="1"/>
      <c r="R141" s="1"/>
      <c r="S141" s="1"/>
      <c r="T141" s="1"/>
    </row>
    <row r="142" spans="1:20" ht="13.5">
      <c r="A142" s="1"/>
      <c r="B142" s="1"/>
      <c r="C142" s="1"/>
      <c r="D142" s="1"/>
      <c r="E142" s="1"/>
      <c r="F142" s="1"/>
      <c r="G142" s="1"/>
      <c r="H142" s="1"/>
      <c r="I142" s="1"/>
      <c r="J142" s="1"/>
      <c r="K142" s="1"/>
      <c r="L142" s="1"/>
      <c r="M142" s="1"/>
      <c r="N142" s="1"/>
      <c r="O142" s="1"/>
      <c r="P142" s="1"/>
      <c r="Q142" s="1"/>
      <c r="R142" s="1"/>
      <c r="S142" s="1"/>
      <c r="T142" s="1"/>
    </row>
    <row r="143" spans="1:20" ht="13.5">
      <c r="A143" s="1"/>
      <c r="B143" s="1"/>
      <c r="C143" s="1"/>
      <c r="D143" s="1"/>
      <c r="E143" s="1"/>
      <c r="F143" s="1"/>
      <c r="G143" s="1"/>
      <c r="H143" s="1"/>
      <c r="I143" s="1"/>
      <c r="J143" s="1"/>
      <c r="K143" s="1"/>
      <c r="L143" s="1"/>
      <c r="M143" s="1"/>
      <c r="N143" s="1"/>
      <c r="O143" s="1"/>
      <c r="P143" s="1"/>
      <c r="Q143" s="1"/>
      <c r="R143" s="1"/>
      <c r="S143" s="1"/>
      <c r="T143" s="1"/>
    </row>
    <row r="144" spans="1:20" ht="13.5">
      <c r="A144" s="1"/>
      <c r="B144" s="1"/>
      <c r="C144" s="1"/>
      <c r="D144" s="1"/>
      <c r="E144" s="1"/>
      <c r="F144" s="1"/>
      <c r="G144" s="1"/>
      <c r="H144" s="1"/>
      <c r="I144" s="1"/>
      <c r="J144" s="1"/>
      <c r="K144" s="1"/>
      <c r="L144" s="1"/>
      <c r="M144" s="1"/>
      <c r="N144" s="1"/>
      <c r="O144" s="1"/>
      <c r="P144" s="1"/>
      <c r="Q144" s="1"/>
      <c r="R144" s="1"/>
      <c r="S144" s="1"/>
      <c r="T144" s="1"/>
    </row>
    <row r="145" spans="1:20" ht="13.5">
      <c r="A145" s="1"/>
      <c r="B145" s="1"/>
      <c r="C145" s="1"/>
      <c r="D145" s="1"/>
      <c r="E145" s="1"/>
      <c r="F145" s="1"/>
      <c r="G145" s="1"/>
      <c r="H145" s="1"/>
      <c r="I145" s="1"/>
      <c r="J145" s="1"/>
      <c r="K145" s="1"/>
      <c r="L145" s="1"/>
      <c r="M145" s="1"/>
      <c r="N145" s="1"/>
      <c r="O145" s="1"/>
      <c r="P145" s="1"/>
      <c r="Q145" s="1"/>
      <c r="R145" s="1"/>
      <c r="S145" s="1"/>
      <c r="T145" s="1"/>
    </row>
    <row r="146" spans="1:20" ht="13.5">
      <c r="A146" s="1"/>
      <c r="B146" s="1"/>
      <c r="C146" s="1"/>
      <c r="D146" s="1"/>
      <c r="E146" s="1"/>
      <c r="F146" s="1"/>
      <c r="G146" s="1"/>
      <c r="H146" s="1"/>
      <c r="I146" s="1"/>
      <c r="J146" s="1"/>
      <c r="K146" s="1"/>
      <c r="L146" s="1"/>
      <c r="M146" s="1"/>
      <c r="N146" s="1"/>
      <c r="O146" s="1"/>
      <c r="P146" s="1"/>
      <c r="Q146" s="1"/>
      <c r="R146" s="1"/>
      <c r="S146" s="1"/>
      <c r="T146" s="1"/>
    </row>
    <row r="147" spans="1:20" ht="13.5">
      <c r="A147" s="1"/>
      <c r="B147" s="1"/>
      <c r="C147" s="1"/>
      <c r="D147" s="1"/>
      <c r="E147" s="1"/>
      <c r="F147" s="1"/>
      <c r="G147" s="1"/>
      <c r="H147" s="1"/>
      <c r="I147" s="1"/>
      <c r="J147" s="1"/>
      <c r="K147" s="1"/>
      <c r="L147" s="1"/>
      <c r="M147" s="1"/>
      <c r="N147" s="1"/>
      <c r="O147" s="1"/>
      <c r="P147" s="1"/>
      <c r="Q147" s="1"/>
      <c r="R147" s="1"/>
      <c r="S147" s="1"/>
      <c r="T147" s="1"/>
    </row>
    <row r="148" spans="1:20" ht="13.5">
      <c r="A148" s="1"/>
      <c r="B148" s="1"/>
      <c r="C148" s="1"/>
      <c r="D148" s="1"/>
      <c r="E148" s="1"/>
      <c r="F148" s="1"/>
      <c r="G148" s="1"/>
      <c r="H148" s="1"/>
      <c r="I148" s="1"/>
      <c r="J148" s="1"/>
      <c r="K148" s="1"/>
      <c r="L148" s="1"/>
      <c r="M148" s="1"/>
      <c r="N148" s="1"/>
      <c r="O148" s="1"/>
      <c r="P148" s="1"/>
      <c r="Q148" s="1"/>
      <c r="R148" s="1"/>
      <c r="S148" s="1"/>
      <c r="T148" s="1"/>
    </row>
    <row r="149" spans="1:20" ht="13.5">
      <c r="A149" s="1"/>
      <c r="B149" s="1"/>
      <c r="C149" s="1"/>
      <c r="D149" s="1"/>
      <c r="E149" s="1"/>
      <c r="F149" s="1"/>
      <c r="G149" s="1"/>
      <c r="H149" s="1"/>
      <c r="I149" s="1"/>
      <c r="J149" s="1"/>
      <c r="K149" s="1"/>
      <c r="L149" s="1"/>
      <c r="M149" s="1"/>
      <c r="N149" s="1"/>
      <c r="O149" s="1"/>
      <c r="P149" s="1"/>
      <c r="Q149" s="1"/>
      <c r="R149" s="1"/>
      <c r="S149" s="1"/>
      <c r="T149" s="1"/>
    </row>
    <row r="150" spans="1:20" ht="13.5">
      <c r="A150" s="1"/>
      <c r="B150" s="1"/>
      <c r="C150" s="1"/>
      <c r="D150" s="1"/>
      <c r="E150" s="1"/>
      <c r="F150" s="1"/>
      <c r="G150" s="1"/>
      <c r="H150" s="1"/>
      <c r="I150" s="1"/>
      <c r="J150" s="1"/>
      <c r="K150" s="1"/>
      <c r="L150" s="1"/>
      <c r="M150" s="1"/>
      <c r="N150" s="1"/>
      <c r="O150" s="1"/>
      <c r="P150" s="1"/>
      <c r="Q150" s="1"/>
      <c r="R150" s="1"/>
      <c r="S150" s="1"/>
      <c r="T150" s="1"/>
    </row>
    <row r="151" spans="1:20" ht="13.5">
      <c r="A151" s="1"/>
      <c r="B151" s="1"/>
      <c r="C151" s="1"/>
      <c r="D151" s="1"/>
      <c r="E151" s="1"/>
      <c r="F151" s="1"/>
      <c r="G151" s="1"/>
      <c r="H151" s="1"/>
      <c r="I151" s="1"/>
      <c r="J151" s="1"/>
      <c r="K151" s="1"/>
      <c r="L151" s="1"/>
      <c r="M151" s="1"/>
      <c r="N151" s="1"/>
      <c r="O151" s="1"/>
      <c r="P151" s="1"/>
      <c r="Q151" s="1"/>
      <c r="R151" s="1"/>
      <c r="S151" s="1"/>
      <c r="T151" s="1"/>
    </row>
    <row r="152" spans="1:20" ht="13.5">
      <c r="A152" s="1"/>
      <c r="B152" s="1"/>
      <c r="C152" s="1"/>
      <c r="D152" s="1"/>
      <c r="E152" s="1"/>
      <c r="F152" s="1"/>
      <c r="G152" s="1"/>
      <c r="H152" s="1"/>
      <c r="I152" s="1"/>
      <c r="J152" s="1"/>
      <c r="K152" s="1"/>
      <c r="L152" s="1"/>
      <c r="M152" s="1"/>
      <c r="N152" s="1"/>
      <c r="O152" s="1"/>
      <c r="P152" s="1"/>
      <c r="Q152" s="1"/>
      <c r="R152" s="1"/>
      <c r="S152" s="1"/>
      <c r="T152" s="1"/>
    </row>
    <row r="153" spans="1:20" ht="13.5">
      <c r="A153" s="1"/>
      <c r="B153" s="1"/>
      <c r="C153" s="1"/>
      <c r="D153" s="1"/>
      <c r="E153" s="1"/>
      <c r="F153" s="1"/>
      <c r="G153" s="1"/>
      <c r="H153" s="1"/>
      <c r="I153" s="1"/>
      <c r="J153" s="1"/>
      <c r="K153" s="1"/>
      <c r="L153" s="1"/>
      <c r="M153" s="1"/>
      <c r="N153" s="1"/>
      <c r="O153" s="1"/>
      <c r="P153" s="1"/>
      <c r="Q153" s="1"/>
      <c r="R153" s="1"/>
      <c r="S153" s="1"/>
      <c r="T153" s="1"/>
    </row>
    <row r="154" spans="1:20" ht="13.5">
      <c r="A154" s="1"/>
      <c r="B154" s="1"/>
      <c r="C154" s="1"/>
      <c r="D154" s="1"/>
      <c r="E154" s="1"/>
      <c r="F154" s="1"/>
      <c r="G154" s="1"/>
      <c r="H154" s="1"/>
      <c r="I154" s="1"/>
      <c r="J154" s="1"/>
      <c r="K154" s="1"/>
      <c r="L154" s="1"/>
      <c r="M154" s="1"/>
      <c r="N154" s="1"/>
      <c r="O154" s="1"/>
      <c r="P154" s="1"/>
      <c r="Q154" s="1"/>
      <c r="R154" s="1"/>
      <c r="S154" s="1"/>
      <c r="T154" s="1"/>
    </row>
    <row r="155" spans="1:20" ht="13.5">
      <c r="A155" s="1"/>
      <c r="B155" s="1"/>
      <c r="C155" s="1"/>
      <c r="D155" s="1"/>
      <c r="E155" s="1"/>
      <c r="F155" s="1"/>
      <c r="G155" s="1"/>
      <c r="H155" s="1"/>
      <c r="I155" s="1"/>
      <c r="J155" s="1"/>
      <c r="K155" s="1"/>
      <c r="L155" s="1"/>
      <c r="M155" s="1"/>
      <c r="N155" s="1"/>
      <c r="O155" s="1"/>
      <c r="P155" s="1"/>
      <c r="Q155" s="1"/>
      <c r="R155" s="1"/>
      <c r="S155" s="1"/>
      <c r="T155" s="1"/>
    </row>
    <row r="156" spans="1:20" ht="13.5">
      <c r="A156" s="1"/>
      <c r="B156" s="1"/>
      <c r="C156" s="1"/>
      <c r="D156" s="1"/>
      <c r="E156" s="1"/>
      <c r="F156" s="1"/>
      <c r="G156" s="1"/>
      <c r="H156" s="1"/>
      <c r="I156" s="1"/>
      <c r="J156" s="1"/>
      <c r="K156" s="1"/>
      <c r="L156" s="1"/>
      <c r="M156" s="1"/>
      <c r="N156" s="1"/>
      <c r="O156" s="1"/>
      <c r="P156" s="1"/>
      <c r="Q156" s="1"/>
      <c r="R156" s="1"/>
      <c r="S156" s="1"/>
      <c r="T156" s="1"/>
    </row>
    <row r="157" spans="1:20" ht="13.5">
      <c r="A157" s="1"/>
      <c r="B157" s="1"/>
      <c r="C157" s="1"/>
      <c r="D157" s="1"/>
      <c r="E157" s="1"/>
      <c r="F157" s="1"/>
      <c r="G157" s="1"/>
      <c r="H157" s="1"/>
      <c r="I157" s="1"/>
      <c r="J157" s="1"/>
      <c r="K157" s="1"/>
      <c r="L157" s="1"/>
      <c r="M157" s="1"/>
      <c r="N157" s="1"/>
      <c r="O157" s="1"/>
      <c r="P157" s="1"/>
      <c r="Q157" s="1"/>
      <c r="R157" s="1"/>
      <c r="S157" s="1"/>
      <c r="T157" s="1"/>
    </row>
    <row r="158" spans="1:20" ht="13.5">
      <c r="A158" s="1"/>
      <c r="B158" s="1"/>
      <c r="C158" s="1"/>
      <c r="D158" s="1"/>
      <c r="E158" s="1"/>
      <c r="F158" s="1"/>
      <c r="G158" s="1"/>
      <c r="H158" s="1"/>
      <c r="I158" s="1"/>
      <c r="J158" s="1"/>
      <c r="K158" s="1"/>
      <c r="L158" s="1"/>
      <c r="M158" s="1"/>
      <c r="N158" s="1"/>
      <c r="O158" s="1"/>
      <c r="P158" s="1"/>
      <c r="Q158" s="1"/>
      <c r="R158" s="1"/>
      <c r="S158" s="1"/>
      <c r="T158" s="1"/>
    </row>
    <row r="159" spans="1:20" ht="13.5">
      <c r="A159" s="1"/>
      <c r="B159" s="1"/>
      <c r="C159" s="1"/>
      <c r="D159" s="1"/>
      <c r="E159" s="1"/>
      <c r="F159" s="1"/>
      <c r="G159" s="1"/>
      <c r="H159" s="1"/>
      <c r="I159" s="1"/>
      <c r="J159" s="1"/>
      <c r="K159" s="1"/>
      <c r="L159" s="1"/>
      <c r="M159" s="1"/>
      <c r="N159" s="1"/>
      <c r="O159" s="1"/>
      <c r="P159" s="1"/>
      <c r="Q159" s="1"/>
      <c r="R159" s="1"/>
      <c r="S159" s="1"/>
      <c r="T159" s="1"/>
    </row>
    <row r="160" spans="1:20" ht="13.5">
      <c r="A160" s="1"/>
      <c r="B160" s="1"/>
      <c r="C160" s="1"/>
      <c r="D160" s="1"/>
      <c r="E160" s="1"/>
      <c r="F160" s="1"/>
      <c r="G160" s="1"/>
      <c r="H160" s="1"/>
      <c r="I160" s="1"/>
      <c r="J160" s="1"/>
      <c r="K160" s="1"/>
      <c r="L160" s="1"/>
      <c r="M160" s="1"/>
      <c r="N160" s="1"/>
      <c r="O160" s="1"/>
      <c r="P160" s="1"/>
      <c r="Q160" s="1"/>
      <c r="R160" s="1"/>
      <c r="S160" s="1"/>
      <c r="T160" s="1"/>
    </row>
    <row r="161" spans="1:20" ht="13.5">
      <c r="A161" s="1"/>
      <c r="B161" s="1"/>
      <c r="C161" s="1"/>
      <c r="D161" s="1"/>
      <c r="E161" s="1"/>
      <c r="F161" s="1"/>
      <c r="G161" s="1"/>
      <c r="H161" s="1"/>
      <c r="I161" s="1"/>
      <c r="J161" s="1"/>
      <c r="K161" s="1"/>
      <c r="L161" s="1"/>
      <c r="M161" s="1"/>
      <c r="N161" s="1"/>
      <c r="O161" s="1"/>
      <c r="P161" s="1"/>
      <c r="Q161" s="1"/>
      <c r="R161" s="1"/>
      <c r="S161" s="1"/>
      <c r="T161" s="1"/>
    </row>
    <row r="162" spans="1:20" ht="13.5">
      <c r="A162" s="1"/>
      <c r="B162" s="1"/>
      <c r="C162" s="1"/>
      <c r="D162" s="1"/>
      <c r="E162" s="1"/>
      <c r="F162" s="1"/>
      <c r="G162" s="1"/>
      <c r="H162" s="1"/>
      <c r="I162" s="1"/>
      <c r="J162" s="1"/>
      <c r="K162" s="1"/>
      <c r="L162" s="1"/>
      <c r="M162" s="1"/>
      <c r="N162" s="1"/>
      <c r="O162" s="1"/>
      <c r="P162" s="1"/>
      <c r="Q162" s="1"/>
      <c r="R162" s="1"/>
      <c r="S162" s="1"/>
      <c r="T162" s="1"/>
    </row>
    <row r="163" spans="1:20" ht="13.5">
      <c r="A163" s="1"/>
      <c r="B163" s="1"/>
      <c r="C163" s="1"/>
      <c r="D163" s="1"/>
      <c r="E163" s="1"/>
      <c r="F163" s="1"/>
      <c r="G163" s="1"/>
      <c r="H163" s="1"/>
      <c r="I163" s="1"/>
      <c r="J163" s="1"/>
      <c r="K163" s="1"/>
      <c r="L163" s="1"/>
      <c r="M163" s="1"/>
      <c r="N163" s="1"/>
      <c r="O163" s="1"/>
      <c r="P163" s="1"/>
      <c r="Q163" s="1"/>
      <c r="R163" s="1"/>
      <c r="S163" s="1"/>
      <c r="T163" s="1"/>
    </row>
    <row r="164" spans="1:20" ht="13.5">
      <c r="A164" s="1"/>
      <c r="B164" s="1"/>
      <c r="C164" s="1"/>
      <c r="D164" s="1"/>
      <c r="E164" s="1"/>
      <c r="F164" s="1"/>
      <c r="G164" s="1"/>
      <c r="H164" s="1"/>
      <c r="I164" s="1"/>
      <c r="J164" s="1"/>
      <c r="K164" s="1"/>
      <c r="L164" s="1"/>
      <c r="M164" s="1"/>
      <c r="N164" s="1"/>
      <c r="O164" s="1"/>
      <c r="P164" s="1"/>
      <c r="Q164" s="1"/>
      <c r="R164" s="1"/>
      <c r="S164" s="1"/>
      <c r="T164" s="1"/>
    </row>
    <row r="165" spans="1:20" ht="13.5">
      <c r="A165" s="1"/>
      <c r="B165" s="1"/>
      <c r="C165" s="1"/>
      <c r="D165" s="1"/>
      <c r="E165" s="1"/>
      <c r="F165" s="1"/>
      <c r="G165" s="1"/>
      <c r="H165" s="1"/>
      <c r="I165" s="1"/>
      <c r="J165" s="1"/>
      <c r="K165" s="1"/>
      <c r="L165" s="1"/>
      <c r="M165" s="1"/>
      <c r="N165" s="1"/>
      <c r="O165" s="1"/>
      <c r="P165" s="1"/>
      <c r="Q165" s="1"/>
      <c r="R165" s="1"/>
      <c r="S165" s="1"/>
      <c r="T165" s="1"/>
    </row>
    <row r="166" spans="1:20" ht="13.5">
      <c r="A166" s="1"/>
      <c r="B166" s="1"/>
      <c r="C166" s="1"/>
      <c r="D166" s="1"/>
      <c r="E166" s="1"/>
      <c r="F166" s="1"/>
      <c r="G166" s="1"/>
      <c r="H166" s="1"/>
      <c r="I166" s="1"/>
      <c r="J166" s="1"/>
      <c r="K166" s="1"/>
      <c r="L166" s="1"/>
      <c r="M166" s="1"/>
      <c r="N166" s="1"/>
      <c r="O166" s="1"/>
      <c r="P166" s="1"/>
      <c r="Q166" s="1"/>
      <c r="R166" s="1"/>
      <c r="S166" s="1"/>
      <c r="T166" s="1"/>
    </row>
    <row r="167" spans="1:20" ht="13.5">
      <c r="A167" s="1"/>
      <c r="B167" s="1"/>
      <c r="C167" s="1"/>
      <c r="D167" s="1"/>
      <c r="E167" s="1"/>
      <c r="F167" s="1"/>
      <c r="G167" s="1"/>
      <c r="H167" s="1"/>
      <c r="I167" s="1"/>
      <c r="J167" s="1"/>
      <c r="K167" s="1"/>
      <c r="L167" s="1"/>
      <c r="M167" s="1"/>
      <c r="N167" s="1"/>
      <c r="O167" s="1"/>
      <c r="P167" s="1"/>
      <c r="Q167" s="1"/>
      <c r="R167" s="1"/>
      <c r="S167" s="1"/>
      <c r="T167" s="1"/>
    </row>
    <row r="168" spans="1:20" ht="13.5">
      <c r="A168" s="1"/>
      <c r="B168" s="1"/>
      <c r="C168" s="1"/>
      <c r="D168" s="1"/>
      <c r="E168" s="1"/>
      <c r="F168" s="1"/>
      <c r="G168" s="1"/>
      <c r="H168" s="1"/>
      <c r="I168" s="1"/>
      <c r="J168" s="1"/>
      <c r="K168" s="1"/>
      <c r="L168" s="1"/>
      <c r="M168" s="1"/>
      <c r="N168" s="1"/>
      <c r="O168" s="1"/>
      <c r="P168" s="1"/>
      <c r="Q168" s="1"/>
      <c r="R168" s="1"/>
      <c r="S168" s="1"/>
      <c r="T168" s="1"/>
    </row>
    <row r="169" spans="1:20" ht="13.5">
      <c r="A169" s="1"/>
      <c r="B169" s="1"/>
      <c r="C169" s="1"/>
      <c r="D169" s="1"/>
      <c r="E169" s="1"/>
      <c r="F169" s="1"/>
      <c r="G169" s="1"/>
      <c r="H169" s="1"/>
      <c r="I169" s="1"/>
      <c r="J169" s="1"/>
      <c r="K169" s="1"/>
      <c r="L169" s="1"/>
      <c r="M169" s="1"/>
      <c r="N169" s="1"/>
      <c r="O169" s="1"/>
      <c r="P169" s="1"/>
      <c r="Q169" s="1"/>
      <c r="R169" s="1"/>
      <c r="S169" s="1"/>
      <c r="T169" s="1"/>
    </row>
    <row r="170" spans="1:20" ht="13.5">
      <c r="A170" s="1"/>
      <c r="B170" s="1"/>
      <c r="C170" s="1"/>
      <c r="D170" s="1"/>
      <c r="E170" s="1"/>
      <c r="F170" s="1"/>
      <c r="G170" s="1"/>
      <c r="H170" s="1"/>
      <c r="I170" s="1"/>
      <c r="J170" s="1"/>
      <c r="K170" s="1"/>
      <c r="L170" s="1"/>
      <c r="M170" s="1"/>
      <c r="N170" s="1"/>
      <c r="O170" s="1"/>
      <c r="P170" s="1"/>
      <c r="Q170" s="1"/>
      <c r="R170" s="1"/>
      <c r="S170" s="1"/>
      <c r="T170" s="1"/>
    </row>
    <row r="171" spans="1:20" ht="13.5">
      <c r="A171" s="1"/>
      <c r="B171" s="1"/>
      <c r="C171" s="1"/>
      <c r="D171" s="1"/>
      <c r="E171" s="1"/>
      <c r="F171" s="1"/>
      <c r="G171" s="1"/>
      <c r="H171" s="1"/>
      <c r="I171" s="1"/>
      <c r="J171" s="1"/>
      <c r="K171" s="1"/>
      <c r="L171" s="1"/>
      <c r="M171" s="1"/>
      <c r="N171" s="1"/>
      <c r="O171" s="1"/>
      <c r="P171" s="1"/>
      <c r="Q171" s="1"/>
      <c r="R171" s="1"/>
      <c r="S171" s="1"/>
      <c r="T171" s="1"/>
    </row>
    <row r="172" spans="1:20" ht="13.5">
      <c r="A172" s="1"/>
      <c r="B172" s="1"/>
      <c r="C172" s="1"/>
      <c r="D172" s="1"/>
      <c r="E172" s="1"/>
      <c r="F172" s="1"/>
      <c r="G172" s="1"/>
      <c r="H172" s="1"/>
      <c r="I172" s="1"/>
      <c r="J172" s="1"/>
      <c r="K172" s="1"/>
      <c r="L172" s="1"/>
      <c r="M172" s="1"/>
      <c r="N172" s="1"/>
      <c r="O172" s="1"/>
      <c r="P172" s="1"/>
      <c r="Q172" s="1"/>
      <c r="R172" s="1"/>
      <c r="S172" s="1"/>
      <c r="T172" s="1"/>
    </row>
    <row r="173" spans="1:20" ht="13.5">
      <c r="A173" s="1"/>
      <c r="B173" s="1"/>
      <c r="C173" s="1"/>
      <c r="D173" s="1"/>
      <c r="E173" s="1"/>
      <c r="F173" s="1"/>
      <c r="G173" s="1"/>
      <c r="H173" s="1"/>
      <c r="I173" s="1"/>
      <c r="J173" s="1"/>
      <c r="K173" s="1"/>
      <c r="L173" s="1"/>
      <c r="M173" s="1"/>
      <c r="N173" s="1"/>
      <c r="O173" s="1"/>
      <c r="P173" s="1"/>
      <c r="Q173" s="1"/>
      <c r="R173" s="1"/>
      <c r="S173" s="1"/>
      <c r="T173" s="1"/>
    </row>
    <row r="174" spans="1:20" ht="13.5">
      <c r="A174" s="1"/>
      <c r="B174" s="1"/>
      <c r="C174" s="1"/>
      <c r="D174" s="1"/>
      <c r="E174" s="1"/>
      <c r="F174" s="1"/>
      <c r="G174" s="1"/>
      <c r="H174" s="1"/>
      <c r="I174" s="1"/>
      <c r="J174" s="1"/>
      <c r="K174" s="1"/>
      <c r="L174" s="1"/>
      <c r="M174" s="1"/>
      <c r="N174" s="1"/>
      <c r="O174" s="1"/>
      <c r="P174" s="1"/>
      <c r="Q174" s="1"/>
      <c r="R174" s="1"/>
      <c r="S174" s="1"/>
      <c r="T174" s="1"/>
    </row>
    <row r="175" spans="1:20" ht="13.5">
      <c r="A175" s="1"/>
      <c r="B175" s="1"/>
      <c r="C175" s="1"/>
      <c r="D175" s="1"/>
      <c r="E175" s="1"/>
      <c r="F175" s="1"/>
      <c r="G175" s="1"/>
      <c r="H175" s="1"/>
      <c r="I175" s="1"/>
      <c r="J175" s="1"/>
      <c r="K175" s="1"/>
      <c r="L175" s="1"/>
      <c r="M175" s="1"/>
      <c r="N175" s="1"/>
      <c r="O175" s="1"/>
      <c r="P175" s="1"/>
      <c r="Q175" s="1"/>
      <c r="R175" s="1"/>
      <c r="S175" s="1"/>
      <c r="T175" s="1"/>
    </row>
    <row r="176" spans="1:20" ht="13.5">
      <c r="A176" s="1"/>
      <c r="B176" s="1"/>
      <c r="C176" s="1"/>
      <c r="D176" s="1"/>
      <c r="E176" s="1"/>
      <c r="F176" s="1"/>
      <c r="G176" s="1"/>
      <c r="H176" s="1"/>
      <c r="I176" s="1"/>
      <c r="J176" s="1"/>
      <c r="K176" s="1"/>
      <c r="L176" s="1"/>
      <c r="M176" s="1"/>
      <c r="N176" s="1"/>
      <c r="O176" s="1"/>
      <c r="P176" s="1"/>
      <c r="Q176" s="1"/>
      <c r="R176" s="1"/>
      <c r="S176" s="1"/>
      <c r="T176" s="1"/>
    </row>
    <row r="177" spans="1:20" ht="13.5">
      <c r="A177" s="1"/>
      <c r="B177" s="1"/>
      <c r="C177" s="1"/>
      <c r="D177" s="1"/>
      <c r="E177" s="1"/>
      <c r="F177" s="1"/>
      <c r="G177" s="1"/>
      <c r="H177" s="1"/>
      <c r="I177" s="1"/>
      <c r="J177" s="1"/>
      <c r="K177" s="1"/>
      <c r="L177" s="1"/>
      <c r="M177" s="1"/>
      <c r="N177" s="1"/>
      <c r="O177" s="1"/>
      <c r="P177" s="1"/>
      <c r="Q177" s="1"/>
      <c r="R177" s="1"/>
      <c r="S177" s="1"/>
      <c r="T177" s="1"/>
    </row>
    <row r="178" spans="1:20" ht="13.5">
      <c r="A178" s="1"/>
      <c r="B178" s="1"/>
      <c r="C178" s="1"/>
      <c r="D178" s="1"/>
      <c r="E178" s="1"/>
      <c r="F178" s="1"/>
      <c r="G178" s="1"/>
      <c r="H178" s="1"/>
      <c r="I178" s="1"/>
      <c r="J178" s="1"/>
      <c r="K178" s="1"/>
      <c r="L178" s="1"/>
      <c r="M178" s="1"/>
      <c r="N178" s="1"/>
      <c r="O178" s="1"/>
      <c r="P178" s="1"/>
      <c r="Q178" s="1"/>
      <c r="R178" s="1"/>
      <c r="S178" s="1"/>
      <c r="T178" s="1"/>
    </row>
    <row r="179" spans="1:20" ht="13.5">
      <c r="A179" s="1"/>
      <c r="B179" s="1"/>
      <c r="C179" s="1"/>
      <c r="D179" s="1"/>
      <c r="E179" s="1"/>
      <c r="F179" s="1"/>
      <c r="G179" s="1"/>
      <c r="H179" s="1"/>
      <c r="I179" s="1"/>
      <c r="J179" s="1"/>
      <c r="K179" s="1"/>
      <c r="L179" s="1"/>
      <c r="M179" s="1"/>
      <c r="N179" s="1"/>
      <c r="O179" s="1"/>
      <c r="P179" s="1"/>
      <c r="Q179" s="1"/>
      <c r="R179" s="1"/>
      <c r="S179" s="1"/>
      <c r="T179" s="1"/>
    </row>
    <row r="180" spans="1:20" ht="13.5">
      <c r="A180" s="1"/>
      <c r="B180" s="1"/>
      <c r="C180" s="1"/>
      <c r="D180" s="1"/>
      <c r="E180" s="1"/>
      <c r="F180" s="1"/>
      <c r="G180" s="1"/>
      <c r="H180" s="1"/>
      <c r="I180" s="1"/>
      <c r="J180" s="1"/>
      <c r="K180" s="1"/>
      <c r="L180" s="1"/>
      <c r="M180" s="1"/>
      <c r="N180" s="1"/>
      <c r="O180" s="1"/>
      <c r="P180" s="1"/>
      <c r="Q180" s="1"/>
      <c r="R180" s="1"/>
      <c r="S180" s="1"/>
      <c r="T180" s="1"/>
    </row>
    <row r="181" spans="1:20" ht="13.5">
      <c r="A181" s="1"/>
      <c r="B181" s="1"/>
      <c r="C181" s="1"/>
      <c r="D181" s="1"/>
      <c r="E181" s="1"/>
      <c r="F181" s="1"/>
      <c r="G181" s="1"/>
      <c r="H181" s="1"/>
      <c r="I181" s="1"/>
      <c r="J181" s="1"/>
      <c r="K181" s="1"/>
      <c r="L181" s="1"/>
      <c r="M181" s="1"/>
      <c r="N181" s="1"/>
      <c r="O181" s="1"/>
      <c r="P181" s="1"/>
      <c r="Q181" s="1"/>
      <c r="R181" s="1"/>
      <c r="S181" s="1"/>
      <c r="T181" s="1"/>
    </row>
    <row r="182" spans="1:20" ht="13.5">
      <c r="A182" s="1"/>
      <c r="B182" s="1"/>
      <c r="C182" s="1"/>
      <c r="D182" s="1"/>
      <c r="E182" s="1"/>
      <c r="F182" s="1"/>
      <c r="G182" s="1"/>
      <c r="H182" s="1"/>
      <c r="I182" s="1"/>
      <c r="J182" s="1"/>
      <c r="K182" s="1"/>
      <c r="L182" s="1"/>
      <c r="M182" s="1"/>
      <c r="N182" s="1"/>
      <c r="O182" s="1"/>
      <c r="P182" s="1"/>
      <c r="Q182" s="1"/>
      <c r="R182" s="1"/>
      <c r="S182" s="1"/>
      <c r="T182" s="1"/>
    </row>
    <row r="183" spans="1:20" ht="13.5">
      <c r="A183" s="1"/>
      <c r="B183" s="1"/>
      <c r="C183" s="1"/>
      <c r="D183" s="1"/>
      <c r="E183" s="1"/>
      <c r="F183" s="1"/>
      <c r="G183" s="1"/>
      <c r="H183" s="1"/>
      <c r="I183" s="1"/>
      <c r="J183" s="1"/>
      <c r="K183" s="1"/>
      <c r="L183" s="1"/>
      <c r="M183" s="1"/>
      <c r="N183" s="1"/>
      <c r="O183" s="1"/>
      <c r="P183" s="1"/>
      <c r="Q183" s="1"/>
      <c r="R183" s="1"/>
      <c r="S183" s="1"/>
      <c r="T183" s="1"/>
    </row>
    <row r="184" spans="1:20" ht="13.5">
      <c r="A184" s="1"/>
      <c r="B184" s="1"/>
      <c r="C184" s="1"/>
      <c r="D184" s="1"/>
      <c r="E184" s="1"/>
      <c r="F184" s="1"/>
      <c r="G184" s="1"/>
      <c r="H184" s="1"/>
      <c r="I184" s="1"/>
      <c r="J184" s="1"/>
      <c r="K184" s="1"/>
      <c r="L184" s="1"/>
      <c r="M184" s="1"/>
      <c r="N184" s="1"/>
      <c r="O184" s="1"/>
      <c r="P184" s="1"/>
      <c r="Q184" s="1"/>
      <c r="R184" s="1"/>
      <c r="S184" s="1"/>
      <c r="T184" s="1"/>
    </row>
    <row r="185" spans="1:20" ht="13.5">
      <c r="A185" s="1"/>
      <c r="B185" s="1"/>
      <c r="C185" s="1"/>
      <c r="D185" s="1"/>
      <c r="E185" s="1"/>
      <c r="F185" s="1"/>
      <c r="G185" s="1"/>
      <c r="H185" s="1"/>
      <c r="I185" s="1"/>
      <c r="J185" s="1"/>
      <c r="K185" s="1"/>
      <c r="L185" s="1"/>
      <c r="M185" s="1"/>
      <c r="N185" s="1"/>
      <c r="O185" s="1"/>
      <c r="P185" s="1"/>
      <c r="Q185" s="1"/>
      <c r="R185" s="1"/>
      <c r="S185" s="1"/>
      <c r="T185" s="1"/>
    </row>
    <row r="186" spans="1:20" ht="13.5">
      <c r="A186" s="1"/>
      <c r="B186" s="1"/>
      <c r="C186" s="1"/>
      <c r="D186" s="1"/>
      <c r="E186" s="1"/>
      <c r="F186" s="1"/>
      <c r="G186" s="1"/>
      <c r="H186" s="1"/>
      <c r="I186" s="1"/>
      <c r="J186" s="1"/>
      <c r="K186" s="1"/>
      <c r="L186" s="1"/>
      <c r="M186" s="1"/>
      <c r="N186" s="1"/>
      <c r="O186" s="1"/>
      <c r="P186" s="1"/>
      <c r="Q186" s="1"/>
      <c r="R186" s="1"/>
      <c r="S186" s="1"/>
      <c r="T186" s="1"/>
    </row>
    <row r="187" spans="1:20" ht="13.5">
      <c r="A187" s="1"/>
      <c r="B187" s="1"/>
      <c r="C187" s="1"/>
      <c r="D187" s="1"/>
      <c r="E187" s="1"/>
      <c r="F187" s="1"/>
      <c r="G187" s="1"/>
      <c r="H187" s="1"/>
      <c r="I187" s="1"/>
      <c r="J187" s="1"/>
      <c r="K187" s="1"/>
      <c r="L187" s="1"/>
      <c r="M187" s="1"/>
      <c r="N187" s="1"/>
      <c r="O187" s="1"/>
      <c r="P187" s="1"/>
      <c r="Q187" s="1"/>
      <c r="R187" s="1"/>
      <c r="S187" s="1"/>
      <c r="T187" s="1"/>
    </row>
    <row r="188" spans="1:20" ht="13.5">
      <c r="A188" s="1"/>
      <c r="B188" s="1"/>
      <c r="C188" s="1"/>
      <c r="D188" s="1"/>
      <c r="E188" s="1"/>
      <c r="F188" s="1"/>
      <c r="G188" s="1"/>
      <c r="H188" s="1"/>
      <c r="I188" s="1"/>
      <c r="J188" s="1"/>
      <c r="K188" s="1"/>
      <c r="L188" s="1"/>
      <c r="M188" s="1"/>
      <c r="N188" s="1"/>
      <c r="O188" s="1"/>
      <c r="P188" s="1"/>
      <c r="Q188" s="1"/>
      <c r="R188" s="1"/>
      <c r="S188" s="1"/>
      <c r="T188" s="1"/>
    </row>
    <row r="189" spans="1:20" ht="13.5">
      <c r="A189" s="1"/>
      <c r="B189" s="1"/>
      <c r="C189" s="1"/>
      <c r="D189" s="1"/>
      <c r="E189" s="1"/>
      <c r="F189" s="1"/>
      <c r="G189" s="1"/>
      <c r="H189" s="1"/>
      <c r="I189" s="1"/>
      <c r="J189" s="1"/>
      <c r="K189" s="1"/>
      <c r="L189" s="1"/>
      <c r="M189" s="1"/>
      <c r="N189" s="1"/>
      <c r="O189" s="1"/>
      <c r="P189" s="1"/>
      <c r="Q189" s="1"/>
      <c r="R189" s="1"/>
      <c r="S189" s="1"/>
      <c r="T189" s="1"/>
    </row>
    <row r="190" spans="1:20" ht="13.5">
      <c r="A190" s="1"/>
      <c r="B190" s="1"/>
      <c r="C190" s="1"/>
      <c r="D190" s="1"/>
      <c r="E190" s="1"/>
      <c r="F190" s="1"/>
      <c r="G190" s="1"/>
      <c r="H190" s="1"/>
      <c r="I190" s="1"/>
      <c r="J190" s="1"/>
      <c r="K190" s="1"/>
      <c r="L190" s="1"/>
      <c r="M190" s="1"/>
      <c r="N190" s="1"/>
      <c r="O190" s="1"/>
      <c r="P190" s="1"/>
      <c r="Q190" s="1"/>
      <c r="R190" s="1"/>
      <c r="S190" s="1"/>
      <c r="T190" s="1"/>
    </row>
    <row r="191" spans="1:20" ht="13.5">
      <c r="A191" s="1"/>
      <c r="B191" s="1"/>
      <c r="C191" s="1"/>
      <c r="D191" s="1"/>
      <c r="E191" s="1"/>
      <c r="F191" s="1"/>
      <c r="G191" s="1"/>
      <c r="H191" s="1"/>
      <c r="I191" s="1"/>
      <c r="J191" s="1"/>
      <c r="K191" s="1"/>
      <c r="L191" s="1"/>
      <c r="M191" s="1"/>
      <c r="N191" s="1"/>
      <c r="O191" s="1"/>
      <c r="P191" s="1"/>
      <c r="Q191" s="1"/>
      <c r="R191" s="1"/>
      <c r="S191" s="1"/>
      <c r="T191" s="1"/>
    </row>
    <row r="192" spans="1:20" ht="13.5">
      <c r="A192" s="1"/>
      <c r="B192" s="1"/>
      <c r="C192" s="1"/>
      <c r="D192" s="1"/>
      <c r="E192" s="1"/>
      <c r="F192" s="1"/>
      <c r="G192" s="1"/>
      <c r="H192" s="1"/>
      <c r="I192" s="1"/>
      <c r="J192" s="1"/>
      <c r="K192" s="1"/>
      <c r="L192" s="1"/>
      <c r="M192" s="1"/>
      <c r="N192" s="1"/>
      <c r="O192" s="1"/>
      <c r="P192" s="1"/>
      <c r="Q192" s="1"/>
      <c r="R192" s="1"/>
      <c r="S192" s="1"/>
      <c r="T192" s="1"/>
    </row>
    <row r="193" spans="1:20" ht="13.5">
      <c r="A193" s="1"/>
      <c r="B193" s="1"/>
      <c r="C193" s="1"/>
      <c r="D193" s="1"/>
      <c r="E193" s="1"/>
      <c r="F193" s="1"/>
      <c r="G193" s="1"/>
      <c r="H193" s="1"/>
      <c r="I193" s="1"/>
      <c r="J193" s="1"/>
      <c r="K193" s="1"/>
      <c r="L193" s="1"/>
      <c r="M193" s="1"/>
      <c r="N193" s="1"/>
      <c r="O193" s="1"/>
      <c r="P193" s="1"/>
      <c r="Q193" s="1"/>
      <c r="R193" s="1"/>
      <c r="S193" s="1"/>
      <c r="T193" s="1"/>
    </row>
    <row r="194" spans="1:20" ht="13.5">
      <c r="A194" s="1"/>
      <c r="B194" s="1"/>
      <c r="C194" s="1"/>
      <c r="D194" s="1"/>
      <c r="E194" s="1"/>
      <c r="F194" s="1"/>
      <c r="G194" s="1"/>
      <c r="H194" s="1"/>
      <c r="I194" s="1"/>
      <c r="J194" s="1"/>
      <c r="K194" s="1"/>
      <c r="L194" s="1"/>
      <c r="M194" s="1"/>
      <c r="N194" s="1"/>
      <c r="O194" s="1"/>
      <c r="P194" s="1"/>
      <c r="Q194" s="1"/>
      <c r="R194" s="1"/>
      <c r="S194" s="1"/>
      <c r="T194" s="1"/>
    </row>
    <row r="195" spans="1:20" ht="13.5">
      <c r="A195" s="1"/>
      <c r="B195" s="1"/>
      <c r="C195" s="1"/>
      <c r="D195" s="1"/>
      <c r="E195" s="1"/>
      <c r="F195" s="1"/>
      <c r="G195" s="1"/>
      <c r="H195" s="1"/>
      <c r="I195" s="1"/>
      <c r="J195" s="1"/>
      <c r="K195" s="1"/>
      <c r="L195" s="1"/>
      <c r="M195" s="1"/>
      <c r="N195" s="1"/>
      <c r="O195" s="1"/>
      <c r="P195" s="1"/>
      <c r="Q195" s="1"/>
      <c r="R195" s="1"/>
      <c r="S195" s="1"/>
      <c r="T195" s="1"/>
    </row>
    <row r="196" spans="1:20" ht="13.5">
      <c r="A196" s="1"/>
      <c r="B196" s="1"/>
      <c r="C196" s="1"/>
      <c r="D196" s="1"/>
      <c r="E196" s="1"/>
      <c r="F196" s="1"/>
      <c r="G196" s="1"/>
      <c r="H196" s="1"/>
      <c r="I196" s="1"/>
      <c r="J196" s="1"/>
      <c r="K196" s="1"/>
      <c r="L196" s="1"/>
      <c r="M196" s="1"/>
      <c r="N196" s="1"/>
      <c r="O196" s="1"/>
      <c r="P196" s="1"/>
      <c r="Q196" s="1"/>
      <c r="R196" s="1"/>
      <c r="S196" s="1"/>
      <c r="T196" s="1"/>
    </row>
    <row r="197" spans="1:20" ht="13.5">
      <c r="A197" s="1"/>
      <c r="B197" s="1"/>
      <c r="C197" s="1"/>
      <c r="D197" s="1"/>
      <c r="E197" s="1"/>
      <c r="F197" s="1"/>
      <c r="G197" s="1"/>
      <c r="H197" s="1"/>
      <c r="I197" s="1"/>
      <c r="J197" s="1"/>
      <c r="K197" s="1"/>
      <c r="L197" s="1"/>
      <c r="M197" s="1"/>
      <c r="N197" s="1"/>
      <c r="O197" s="1"/>
      <c r="P197" s="1"/>
      <c r="Q197" s="1"/>
      <c r="R197" s="1"/>
      <c r="S197" s="1"/>
      <c r="T197" s="1"/>
    </row>
    <row r="198" spans="1:20" ht="13.5">
      <c r="A198" s="1"/>
      <c r="B198" s="1"/>
      <c r="C198" s="1"/>
      <c r="D198" s="1"/>
      <c r="E198" s="1"/>
      <c r="F198" s="1"/>
      <c r="G198" s="1"/>
      <c r="H198" s="1"/>
      <c r="I198" s="1"/>
      <c r="J198" s="1"/>
      <c r="K198" s="1"/>
      <c r="L198" s="1"/>
      <c r="M198" s="1"/>
      <c r="N198" s="1"/>
      <c r="O198" s="1"/>
      <c r="P198" s="1"/>
      <c r="Q198" s="1"/>
      <c r="R198" s="1"/>
      <c r="S198" s="1"/>
      <c r="T198" s="1"/>
    </row>
    <row r="199" spans="1:20" ht="13.5">
      <c r="A199" s="1"/>
      <c r="B199" s="1"/>
      <c r="C199" s="1"/>
      <c r="D199" s="1"/>
      <c r="E199" s="1"/>
      <c r="F199" s="1"/>
      <c r="G199" s="1"/>
      <c r="H199" s="1"/>
      <c r="I199" s="1"/>
      <c r="J199" s="1"/>
      <c r="K199" s="1"/>
      <c r="L199" s="1"/>
      <c r="M199" s="1"/>
      <c r="N199" s="1"/>
      <c r="O199" s="1"/>
      <c r="P199" s="1"/>
      <c r="Q199" s="1"/>
      <c r="R199" s="1"/>
      <c r="S199" s="1"/>
      <c r="T199" s="1"/>
    </row>
    <row r="200" spans="1:20" ht="13.5">
      <c r="A200" s="1"/>
      <c r="B200" s="1"/>
      <c r="C200" s="1"/>
      <c r="D200" s="1"/>
      <c r="E200" s="1"/>
      <c r="F200" s="1"/>
      <c r="G200" s="1"/>
      <c r="H200" s="1"/>
      <c r="I200" s="1"/>
      <c r="J200" s="1"/>
      <c r="K200" s="1"/>
      <c r="L200" s="1"/>
      <c r="M200" s="1"/>
      <c r="N200" s="1"/>
      <c r="O200" s="1"/>
      <c r="P200" s="1"/>
      <c r="Q200" s="1"/>
      <c r="R200" s="1"/>
      <c r="S200" s="1"/>
      <c r="T200" s="1"/>
    </row>
    <row r="201" spans="1:20" ht="13.5">
      <c r="A201" s="1"/>
      <c r="B201" s="1"/>
      <c r="C201" s="1"/>
      <c r="D201" s="1"/>
      <c r="E201" s="1"/>
      <c r="F201" s="1"/>
      <c r="G201" s="1"/>
      <c r="H201" s="1"/>
      <c r="I201" s="1"/>
      <c r="J201" s="1"/>
      <c r="K201" s="1"/>
      <c r="L201" s="1"/>
      <c r="M201" s="1"/>
      <c r="N201" s="1"/>
      <c r="O201" s="1"/>
      <c r="P201" s="1"/>
      <c r="Q201" s="1"/>
      <c r="R201" s="1"/>
      <c r="S201" s="1"/>
      <c r="T201" s="1"/>
    </row>
    <row r="202" spans="1:20" ht="13.5">
      <c r="A202" s="1"/>
      <c r="B202" s="1"/>
      <c r="C202" s="1"/>
      <c r="D202" s="1"/>
      <c r="E202" s="1"/>
      <c r="F202" s="1"/>
      <c r="G202" s="1"/>
      <c r="H202" s="1"/>
      <c r="I202" s="1"/>
      <c r="J202" s="1"/>
      <c r="K202" s="1"/>
      <c r="L202" s="1"/>
      <c r="M202" s="1"/>
      <c r="N202" s="1"/>
      <c r="O202" s="1"/>
      <c r="P202" s="1"/>
      <c r="Q202" s="1"/>
      <c r="R202" s="1"/>
      <c r="S202" s="1"/>
      <c r="T202" s="1"/>
    </row>
    <row r="203" spans="1:20" ht="13.5">
      <c r="A203" s="1"/>
      <c r="B203" s="1"/>
      <c r="C203" s="1"/>
      <c r="D203" s="1"/>
      <c r="E203" s="1"/>
      <c r="F203" s="1"/>
      <c r="G203" s="1"/>
      <c r="H203" s="1"/>
      <c r="I203" s="1"/>
      <c r="J203" s="1"/>
      <c r="K203" s="1"/>
      <c r="L203" s="1"/>
      <c r="M203" s="1"/>
      <c r="N203" s="1"/>
      <c r="O203" s="1"/>
      <c r="P203" s="1"/>
      <c r="Q203" s="1"/>
      <c r="R203" s="1"/>
      <c r="S203" s="1"/>
      <c r="T203" s="1"/>
    </row>
    <row r="204" spans="1:20" ht="13.5">
      <c r="A204" s="1"/>
      <c r="B204" s="1"/>
      <c r="C204" s="1"/>
      <c r="D204" s="1"/>
      <c r="E204" s="1"/>
      <c r="F204" s="1"/>
      <c r="G204" s="1"/>
      <c r="H204" s="1"/>
      <c r="I204" s="1"/>
      <c r="J204" s="1"/>
      <c r="K204" s="1"/>
      <c r="L204" s="1"/>
      <c r="M204" s="1"/>
      <c r="N204" s="1"/>
      <c r="O204" s="1"/>
      <c r="P204" s="1"/>
      <c r="Q204" s="1"/>
      <c r="R204" s="1"/>
      <c r="S204" s="1"/>
      <c r="T204" s="1"/>
    </row>
    <row r="205" spans="1:20" ht="13.5">
      <c r="A205" s="1"/>
      <c r="B205" s="1"/>
      <c r="C205" s="1"/>
      <c r="D205" s="1"/>
      <c r="E205" s="1"/>
      <c r="F205" s="1"/>
      <c r="G205" s="1"/>
      <c r="H205" s="1"/>
      <c r="I205" s="1"/>
      <c r="J205" s="1"/>
      <c r="K205" s="1"/>
      <c r="L205" s="1"/>
      <c r="M205" s="1"/>
      <c r="N205" s="1"/>
      <c r="O205" s="1"/>
      <c r="P205" s="1"/>
      <c r="Q205" s="1"/>
      <c r="R205" s="1"/>
      <c r="S205" s="1"/>
      <c r="T205" s="1"/>
    </row>
    <row r="206" spans="1:20" ht="13.5">
      <c r="A206" s="1"/>
      <c r="B206" s="1"/>
      <c r="C206" s="1"/>
      <c r="D206" s="1"/>
      <c r="E206" s="1"/>
      <c r="F206" s="1"/>
      <c r="G206" s="1"/>
      <c r="H206" s="1"/>
      <c r="I206" s="1"/>
      <c r="J206" s="1"/>
      <c r="K206" s="1"/>
      <c r="L206" s="1"/>
      <c r="M206" s="1"/>
      <c r="N206" s="1"/>
      <c r="O206" s="1"/>
      <c r="P206" s="1"/>
      <c r="Q206" s="1"/>
      <c r="R206" s="1"/>
      <c r="S206" s="1"/>
      <c r="T206" s="1"/>
    </row>
    <row r="207" spans="1:20" ht="13.5">
      <c r="A207" s="1"/>
      <c r="B207" s="1"/>
      <c r="C207" s="1"/>
      <c r="D207" s="1"/>
      <c r="E207" s="1"/>
      <c r="F207" s="1"/>
      <c r="G207" s="1"/>
      <c r="H207" s="1"/>
      <c r="I207" s="1"/>
      <c r="J207" s="1"/>
      <c r="K207" s="1"/>
      <c r="L207" s="1"/>
      <c r="M207" s="1"/>
      <c r="N207" s="1"/>
      <c r="O207" s="1"/>
      <c r="P207" s="1"/>
      <c r="Q207" s="1"/>
      <c r="R207" s="1"/>
      <c r="S207" s="1"/>
      <c r="T207" s="1"/>
    </row>
    <row r="208" spans="1:20" ht="13.5">
      <c r="A208" s="1"/>
      <c r="B208" s="1"/>
      <c r="C208" s="1"/>
      <c r="D208" s="1"/>
      <c r="E208" s="1"/>
      <c r="F208" s="1"/>
      <c r="G208" s="1"/>
      <c r="H208" s="1"/>
      <c r="I208" s="1"/>
      <c r="J208" s="1"/>
      <c r="K208" s="1"/>
      <c r="L208" s="1"/>
      <c r="M208" s="1"/>
      <c r="N208" s="1"/>
      <c r="O208" s="1"/>
      <c r="P208" s="1"/>
      <c r="Q208" s="1"/>
      <c r="R208" s="1"/>
      <c r="S208" s="1"/>
      <c r="T208" s="1"/>
    </row>
    <row r="209" spans="1:20" ht="13.5">
      <c r="A209" s="1"/>
      <c r="B209" s="1"/>
      <c r="C209" s="1"/>
      <c r="D209" s="1"/>
      <c r="E209" s="1"/>
      <c r="F209" s="1"/>
      <c r="G209" s="1"/>
      <c r="H209" s="1"/>
      <c r="I209" s="1"/>
      <c r="J209" s="1"/>
      <c r="K209" s="1"/>
      <c r="L209" s="1"/>
      <c r="M209" s="1"/>
      <c r="N209" s="1"/>
      <c r="O209" s="1"/>
      <c r="P209" s="1"/>
      <c r="Q209" s="1"/>
      <c r="R209" s="1"/>
      <c r="S209" s="1"/>
      <c r="T209" s="1"/>
    </row>
    <row r="210" spans="1:20" ht="13.5">
      <c r="A210" s="1"/>
      <c r="B210" s="1"/>
      <c r="C210" s="1"/>
      <c r="D210" s="1"/>
      <c r="E210" s="1"/>
      <c r="F210" s="1"/>
      <c r="G210" s="1"/>
      <c r="H210" s="1"/>
      <c r="I210" s="1"/>
      <c r="J210" s="1"/>
      <c r="K210" s="1"/>
      <c r="L210" s="1"/>
      <c r="M210" s="1"/>
      <c r="N210" s="1"/>
      <c r="O210" s="1"/>
      <c r="P210" s="1"/>
      <c r="Q210" s="1"/>
      <c r="R210" s="1"/>
      <c r="S210" s="1"/>
      <c r="T210" s="1"/>
    </row>
    <row r="211" spans="1:20" ht="13.5">
      <c r="A211" s="1"/>
      <c r="B211" s="1"/>
      <c r="C211" s="1"/>
      <c r="D211" s="1"/>
      <c r="E211" s="1"/>
      <c r="F211" s="1"/>
      <c r="G211" s="1"/>
      <c r="H211" s="1"/>
      <c r="I211" s="1"/>
      <c r="J211" s="1"/>
      <c r="K211" s="1"/>
      <c r="L211" s="1"/>
      <c r="M211" s="1"/>
      <c r="N211" s="1"/>
      <c r="O211" s="1"/>
      <c r="P211" s="1"/>
      <c r="Q211" s="1"/>
      <c r="R211" s="1"/>
      <c r="S211" s="1"/>
      <c r="T211" s="1"/>
    </row>
    <row r="212" spans="1:20" ht="13.5">
      <c r="A212" s="1"/>
      <c r="B212" s="1"/>
      <c r="C212" s="1"/>
      <c r="D212" s="1"/>
      <c r="E212" s="1"/>
      <c r="F212" s="1"/>
      <c r="G212" s="1"/>
      <c r="H212" s="1"/>
      <c r="I212" s="1"/>
      <c r="J212" s="1"/>
      <c r="K212" s="1"/>
      <c r="L212" s="1"/>
      <c r="M212" s="1"/>
      <c r="N212" s="1"/>
      <c r="O212" s="1"/>
      <c r="P212" s="1"/>
      <c r="Q212" s="1"/>
      <c r="R212" s="1"/>
      <c r="S212" s="1"/>
      <c r="T212" s="1"/>
    </row>
    <row r="213" spans="1:20" ht="13.5">
      <c r="A213" s="1"/>
      <c r="B213" s="1"/>
      <c r="C213" s="1"/>
      <c r="D213" s="1"/>
      <c r="E213" s="1"/>
      <c r="F213" s="1"/>
      <c r="G213" s="1"/>
      <c r="H213" s="1"/>
      <c r="I213" s="1"/>
      <c r="J213" s="1"/>
      <c r="K213" s="1"/>
      <c r="L213" s="1"/>
      <c r="M213" s="1"/>
      <c r="N213" s="1"/>
      <c r="O213" s="1"/>
      <c r="P213" s="1"/>
      <c r="Q213" s="1"/>
      <c r="R213" s="1"/>
      <c r="S213" s="1"/>
      <c r="T213" s="1"/>
    </row>
    <row r="214" spans="1:20" ht="13.5">
      <c r="A214" s="1"/>
      <c r="B214" s="1"/>
      <c r="C214" s="1"/>
      <c r="D214" s="1"/>
      <c r="E214" s="1"/>
      <c r="F214" s="1"/>
      <c r="G214" s="1"/>
      <c r="H214" s="1"/>
      <c r="I214" s="1"/>
      <c r="J214" s="1"/>
      <c r="K214" s="1"/>
      <c r="L214" s="1"/>
      <c r="M214" s="1"/>
      <c r="N214" s="1"/>
      <c r="O214" s="1"/>
      <c r="P214" s="1"/>
      <c r="Q214" s="1"/>
      <c r="R214" s="1"/>
      <c r="S214" s="1"/>
      <c r="T214" s="1"/>
    </row>
    <row r="215" spans="1:20" ht="13.5">
      <c r="A215" s="1"/>
      <c r="B215" s="1"/>
      <c r="C215" s="1"/>
      <c r="D215" s="1"/>
      <c r="E215" s="1"/>
      <c r="F215" s="1"/>
      <c r="G215" s="1"/>
      <c r="H215" s="1"/>
      <c r="I215" s="1"/>
      <c r="J215" s="1"/>
      <c r="K215" s="1"/>
      <c r="L215" s="1"/>
      <c r="M215" s="1"/>
      <c r="N215" s="1"/>
      <c r="O215" s="1"/>
      <c r="P215" s="1"/>
      <c r="Q215" s="1"/>
      <c r="R215" s="1"/>
      <c r="S215" s="1"/>
      <c r="T215" s="1"/>
    </row>
    <row r="216" spans="1:20" ht="13.5">
      <c r="A216" s="1"/>
      <c r="B216" s="1"/>
      <c r="C216" s="1"/>
      <c r="D216" s="1"/>
      <c r="E216" s="1"/>
      <c r="F216" s="1"/>
      <c r="G216" s="1"/>
      <c r="H216" s="1"/>
      <c r="I216" s="1"/>
      <c r="J216" s="1"/>
      <c r="K216" s="1"/>
      <c r="L216" s="1"/>
      <c r="M216" s="1"/>
      <c r="N216" s="1"/>
      <c r="O216" s="1"/>
      <c r="P216" s="1"/>
      <c r="Q216" s="1"/>
      <c r="R216" s="1"/>
      <c r="S216" s="1"/>
      <c r="T216" s="1"/>
    </row>
    <row r="217" spans="1:20" ht="13.5">
      <c r="A217" s="1"/>
      <c r="B217" s="1"/>
      <c r="C217" s="1"/>
      <c r="D217" s="1"/>
      <c r="E217" s="1"/>
      <c r="F217" s="1"/>
      <c r="G217" s="1"/>
      <c r="H217" s="1"/>
      <c r="I217" s="1"/>
      <c r="J217" s="1"/>
      <c r="K217" s="1"/>
      <c r="L217" s="1"/>
      <c r="M217" s="1"/>
      <c r="N217" s="1"/>
      <c r="O217" s="1"/>
      <c r="P217" s="1"/>
      <c r="Q217" s="1"/>
      <c r="R217" s="1"/>
      <c r="S217" s="1"/>
      <c r="T217" s="1"/>
    </row>
    <row r="218" spans="1:20" ht="13.5">
      <c r="A218" s="1"/>
      <c r="B218" s="1"/>
      <c r="C218" s="1"/>
      <c r="D218" s="1"/>
      <c r="E218" s="1"/>
      <c r="F218" s="1"/>
      <c r="G218" s="1"/>
      <c r="H218" s="1"/>
      <c r="I218" s="1"/>
      <c r="J218" s="1"/>
      <c r="K218" s="1"/>
      <c r="L218" s="1"/>
      <c r="M218" s="1"/>
      <c r="N218" s="1"/>
      <c r="O218" s="1"/>
      <c r="P218" s="1"/>
      <c r="Q218" s="1"/>
      <c r="R218" s="1"/>
      <c r="S218" s="1"/>
      <c r="T218" s="1"/>
    </row>
    <row r="219" spans="1:20" ht="13.5">
      <c r="A219" s="1"/>
      <c r="B219" s="1"/>
      <c r="C219" s="1"/>
      <c r="D219" s="1"/>
      <c r="E219" s="1"/>
      <c r="F219" s="1"/>
      <c r="G219" s="1"/>
      <c r="H219" s="1"/>
      <c r="I219" s="1"/>
      <c r="J219" s="1"/>
      <c r="K219" s="1"/>
      <c r="L219" s="1"/>
      <c r="M219" s="1"/>
      <c r="N219" s="1"/>
      <c r="O219" s="1"/>
      <c r="P219" s="1"/>
      <c r="Q219" s="1"/>
      <c r="R219" s="1"/>
      <c r="S219" s="1"/>
      <c r="T219" s="1"/>
    </row>
    <row r="220" spans="1:20" ht="13.5">
      <c r="A220" s="1"/>
      <c r="B220" s="1"/>
      <c r="C220" s="1"/>
      <c r="D220" s="1"/>
      <c r="E220" s="1"/>
      <c r="F220" s="1"/>
      <c r="G220" s="1"/>
      <c r="H220" s="1"/>
      <c r="I220" s="1"/>
      <c r="J220" s="1"/>
      <c r="K220" s="1"/>
      <c r="L220" s="1"/>
      <c r="M220" s="1"/>
      <c r="N220" s="1"/>
      <c r="O220" s="1"/>
      <c r="P220" s="1"/>
      <c r="Q220" s="1"/>
      <c r="R220" s="1"/>
      <c r="S220" s="1"/>
      <c r="T220" s="1"/>
    </row>
    <row r="221" spans="1:20" ht="13.5">
      <c r="A221" s="1"/>
      <c r="B221" s="1"/>
      <c r="C221" s="1"/>
      <c r="D221" s="1"/>
      <c r="E221" s="1"/>
      <c r="F221" s="1"/>
      <c r="G221" s="1"/>
      <c r="H221" s="1"/>
      <c r="I221" s="1"/>
      <c r="J221" s="1"/>
      <c r="K221" s="1"/>
      <c r="L221" s="1"/>
      <c r="M221" s="1"/>
      <c r="N221" s="1"/>
      <c r="O221" s="1"/>
      <c r="P221" s="1"/>
      <c r="Q221" s="1"/>
      <c r="R221" s="1"/>
      <c r="S221" s="1"/>
      <c r="T221" s="1"/>
    </row>
    <row r="222" spans="1:20" ht="13.5">
      <c r="A222" s="1"/>
      <c r="B222" s="1"/>
      <c r="C222" s="1"/>
      <c r="D222" s="1"/>
      <c r="E222" s="1"/>
      <c r="F222" s="1"/>
      <c r="G222" s="1"/>
      <c r="H222" s="1"/>
      <c r="I222" s="1"/>
      <c r="J222" s="1"/>
      <c r="K222" s="1"/>
      <c r="L222" s="1"/>
      <c r="M222" s="1"/>
      <c r="N222" s="1"/>
      <c r="O222" s="1"/>
      <c r="P222" s="1"/>
      <c r="Q222" s="1"/>
      <c r="R222" s="1"/>
      <c r="S222" s="1"/>
      <c r="T222" s="1"/>
    </row>
    <row r="223" spans="1:20" ht="13.5">
      <c r="A223" s="1"/>
      <c r="B223" s="1"/>
      <c r="C223" s="1"/>
      <c r="D223" s="1"/>
      <c r="E223" s="1"/>
      <c r="F223" s="1"/>
      <c r="G223" s="1"/>
      <c r="H223" s="1"/>
      <c r="I223" s="1"/>
      <c r="J223" s="1"/>
      <c r="K223" s="1"/>
      <c r="L223" s="1"/>
      <c r="M223" s="1"/>
      <c r="N223" s="1"/>
      <c r="O223" s="1"/>
      <c r="P223" s="1"/>
      <c r="Q223" s="1"/>
      <c r="R223" s="1"/>
      <c r="S223" s="1"/>
      <c r="T223" s="1"/>
    </row>
    <row r="224" spans="1:20" ht="13.5">
      <c r="A224" s="1"/>
      <c r="B224" s="1"/>
      <c r="C224" s="1"/>
      <c r="D224" s="1"/>
      <c r="E224" s="1"/>
      <c r="F224" s="1"/>
      <c r="G224" s="1"/>
      <c r="H224" s="1"/>
      <c r="I224" s="1"/>
      <c r="J224" s="1"/>
      <c r="K224" s="1"/>
      <c r="L224" s="1"/>
      <c r="M224" s="1"/>
      <c r="N224" s="1"/>
      <c r="O224" s="1"/>
      <c r="P224" s="1"/>
      <c r="Q224" s="1"/>
      <c r="R224" s="1"/>
      <c r="S224" s="1"/>
      <c r="T224" s="1"/>
    </row>
    <row r="225" spans="1:20" ht="13.5">
      <c r="A225" s="1"/>
      <c r="B225" s="1"/>
      <c r="C225" s="1"/>
      <c r="D225" s="1"/>
      <c r="E225" s="1"/>
      <c r="F225" s="1"/>
      <c r="G225" s="1"/>
      <c r="H225" s="1"/>
      <c r="I225" s="1"/>
      <c r="J225" s="1"/>
      <c r="K225" s="1"/>
      <c r="L225" s="1"/>
      <c r="M225" s="1"/>
      <c r="N225" s="1"/>
      <c r="O225" s="1"/>
      <c r="P225" s="1"/>
      <c r="Q225" s="1"/>
      <c r="R225" s="1"/>
      <c r="S225" s="1"/>
      <c r="T225" s="1"/>
    </row>
    <row r="226" spans="1:20" ht="13.5">
      <c r="A226" s="1"/>
      <c r="B226" s="1"/>
      <c r="C226" s="1"/>
      <c r="D226" s="1"/>
      <c r="E226" s="1"/>
      <c r="F226" s="1"/>
      <c r="G226" s="1"/>
      <c r="H226" s="1"/>
      <c r="I226" s="1"/>
      <c r="J226" s="1"/>
      <c r="K226" s="1"/>
      <c r="L226" s="1"/>
      <c r="M226" s="1"/>
      <c r="N226" s="1"/>
      <c r="O226" s="1"/>
      <c r="P226" s="1"/>
      <c r="Q226" s="1"/>
      <c r="R226" s="1"/>
      <c r="S226" s="1"/>
      <c r="T226" s="1"/>
    </row>
    <row r="227" spans="1:20" ht="13.5">
      <c r="A227" s="1"/>
      <c r="B227" s="1"/>
      <c r="C227" s="1"/>
      <c r="D227" s="1"/>
      <c r="E227" s="1"/>
      <c r="F227" s="1"/>
      <c r="G227" s="1"/>
      <c r="H227" s="1"/>
      <c r="I227" s="1"/>
      <c r="J227" s="1"/>
      <c r="K227" s="1"/>
      <c r="L227" s="1"/>
      <c r="M227" s="1"/>
      <c r="N227" s="1"/>
      <c r="O227" s="1"/>
      <c r="P227" s="1"/>
      <c r="Q227" s="1"/>
      <c r="R227" s="1"/>
      <c r="S227" s="1"/>
      <c r="T227" s="1"/>
    </row>
    <row r="228" spans="1:20" ht="13.5">
      <c r="A228" s="1"/>
      <c r="B228" s="1"/>
      <c r="C228" s="1"/>
      <c r="D228" s="1"/>
      <c r="E228" s="1"/>
      <c r="F228" s="1"/>
      <c r="G228" s="1"/>
      <c r="H228" s="1"/>
      <c r="I228" s="1"/>
      <c r="J228" s="1"/>
      <c r="K228" s="1"/>
      <c r="L228" s="1"/>
      <c r="M228" s="1"/>
      <c r="N228" s="1"/>
      <c r="O228" s="1"/>
      <c r="P228" s="1"/>
      <c r="Q228" s="1"/>
      <c r="R228" s="1"/>
      <c r="S228" s="1"/>
      <c r="T228" s="1"/>
    </row>
    <row r="229" spans="1:20" ht="13.5">
      <c r="A229" s="1"/>
      <c r="B229" s="1"/>
      <c r="C229" s="1"/>
      <c r="D229" s="1"/>
      <c r="E229" s="1"/>
      <c r="F229" s="1"/>
      <c r="G229" s="1"/>
      <c r="H229" s="1"/>
      <c r="I229" s="1"/>
      <c r="J229" s="1"/>
      <c r="K229" s="1"/>
      <c r="L229" s="1"/>
      <c r="M229" s="1"/>
      <c r="N229" s="1"/>
      <c r="O229" s="1"/>
      <c r="P229" s="1"/>
      <c r="Q229" s="1"/>
      <c r="R229" s="1"/>
      <c r="S229" s="1"/>
      <c r="T229" s="1"/>
    </row>
    <row r="230" spans="1:20" ht="13.5">
      <c r="A230" s="1"/>
      <c r="B230" s="1"/>
      <c r="C230" s="1"/>
      <c r="D230" s="1"/>
      <c r="E230" s="1"/>
      <c r="F230" s="1"/>
      <c r="G230" s="1"/>
      <c r="H230" s="1"/>
      <c r="I230" s="1"/>
      <c r="J230" s="1"/>
      <c r="K230" s="1"/>
      <c r="L230" s="1"/>
      <c r="M230" s="1"/>
      <c r="N230" s="1"/>
      <c r="O230" s="1"/>
      <c r="P230" s="1"/>
      <c r="Q230" s="1"/>
      <c r="R230" s="1"/>
      <c r="S230" s="1"/>
      <c r="T230" s="1"/>
    </row>
    <row r="231" spans="1:20" ht="13.5">
      <c r="A231" s="1"/>
      <c r="B231" s="1"/>
      <c r="C231" s="1"/>
      <c r="D231" s="1"/>
      <c r="E231" s="1"/>
      <c r="F231" s="1"/>
      <c r="G231" s="1"/>
      <c r="H231" s="1"/>
      <c r="I231" s="1"/>
      <c r="J231" s="1"/>
      <c r="K231" s="1"/>
      <c r="L231" s="1"/>
      <c r="M231" s="1"/>
      <c r="N231" s="1"/>
      <c r="O231" s="1"/>
      <c r="P231" s="1"/>
      <c r="Q231" s="1"/>
      <c r="R231" s="1"/>
      <c r="S231" s="1"/>
      <c r="T231" s="1"/>
    </row>
    <row r="232" spans="1:20" ht="13.5">
      <c r="A232" s="1"/>
      <c r="B232" s="1"/>
      <c r="C232" s="1"/>
      <c r="D232" s="1"/>
      <c r="E232" s="1"/>
      <c r="F232" s="1"/>
      <c r="G232" s="1"/>
      <c r="H232" s="1"/>
      <c r="I232" s="1"/>
      <c r="J232" s="1"/>
      <c r="K232" s="1"/>
      <c r="L232" s="1"/>
      <c r="M232" s="1"/>
      <c r="N232" s="1"/>
      <c r="O232" s="1"/>
      <c r="P232" s="1"/>
      <c r="Q232" s="1"/>
      <c r="R232" s="1"/>
      <c r="S232" s="1"/>
      <c r="T232" s="1"/>
    </row>
    <row r="233" spans="1:20" ht="13.5">
      <c r="A233" s="1"/>
      <c r="B233" s="1"/>
      <c r="C233" s="1"/>
      <c r="D233" s="1"/>
      <c r="E233" s="1"/>
      <c r="F233" s="1"/>
      <c r="G233" s="1"/>
      <c r="H233" s="1"/>
      <c r="I233" s="1"/>
      <c r="J233" s="1"/>
      <c r="K233" s="1"/>
      <c r="L233" s="1"/>
      <c r="M233" s="1"/>
      <c r="N233" s="1"/>
      <c r="O233" s="1"/>
      <c r="P233" s="1"/>
      <c r="Q233" s="1"/>
      <c r="R233" s="1"/>
      <c r="S233" s="1"/>
      <c r="T233" s="1"/>
    </row>
    <row r="234" spans="1:20" ht="13.5">
      <c r="A234" s="1"/>
      <c r="B234" s="1"/>
      <c r="C234" s="1"/>
      <c r="D234" s="1"/>
      <c r="E234" s="1"/>
      <c r="F234" s="1"/>
      <c r="G234" s="1"/>
      <c r="H234" s="1"/>
      <c r="I234" s="1"/>
      <c r="J234" s="1"/>
      <c r="K234" s="1"/>
      <c r="L234" s="1"/>
      <c r="M234" s="1"/>
      <c r="N234" s="1"/>
      <c r="O234" s="1"/>
      <c r="P234" s="1"/>
      <c r="Q234" s="1"/>
      <c r="R234" s="1"/>
      <c r="S234" s="1"/>
      <c r="T234" s="1"/>
    </row>
    <row r="235" spans="1:20" ht="13.5">
      <c r="A235" s="1"/>
      <c r="B235" s="1"/>
      <c r="C235" s="1"/>
      <c r="D235" s="1"/>
      <c r="E235" s="1"/>
      <c r="F235" s="1"/>
      <c r="G235" s="1"/>
      <c r="H235" s="1"/>
      <c r="I235" s="1"/>
      <c r="J235" s="1"/>
      <c r="K235" s="1"/>
      <c r="L235" s="1"/>
      <c r="M235" s="1"/>
      <c r="N235" s="1"/>
      <c r="O235" s="1"/>
      <c r="P235" s="1"/>
      <c r="Q235" s="1"/>
      <c r="R235" s="1"/>
      <c r="S235" s="1"/>
      <c r="T235" s="1"/>
    </row>
    <row r="236" spans="1:20" ht="13.5">
      <c r="A236" s="1"/>
      <c r="B236" s="1"/>
      <c r="C236" s="1"/>
      <c r="D236" s="1"/>
      <c r="E236" s="1"/>
      <c r="F236" s="1"/>
      <c r="G236" s="1"/>
      <c r="H236" s="1"/>
      <c r="I236" s="1"/>
      <c r="J236" s="1"/>
      <c r="K236" s="1"/>
      <c r="L236" s="1"/>
      <c r="M236" s="1"/>
      <c r="N236" s="1"/>
      <c r="O236" s="1"/>
      <c r="P236" s="1"/>
      <c r="Q236" s="1"/>
      <c r="R236" s="1"/>
      <c r="S236" s="1"/>
      <c r="T236" s="1"/>
    </row>
    <row r="237" spans="1:20" ht="13.5">
      <c r="A237" s="1"/>
      <c r="B237" s="1"/>
      <c r="C237" s="1"/>
      <c r="D237" s="1"/>
      <c r="E237" s="1"/>
      <c r="F237" s="1"/>
      <c r="G237" s="1"/>
      <c r="H237" s="1"/>
      <c r="I237" s="1"/>
      <c r="J237" s="1"/>
      <c r="K237" s="1"/>
      <c r="L237" s="1"/>
      <c r="M237" s="1"/>
      <c r="N237" s="1"/>
      <c r="O237" s="1"/>
      <c r="P237" s="1"/>
      <c r="Q237" s="1"/>
      <c r="R237" s="1"/>
      <c r="S237" s="1"/>
      <c r="T237" s="1"/>
    </row>
    <row r="238" spans="1:20" ht="13.5">
      <c r="A238" s="1"/>
      <c r="B238" s="1"/>
      <c r="C238" s="1"/>
      <c r="D238" s="1"/>
      <c r="E238" s="1"/>
      <c r="F238" s="1"/>
      <c r="G238" s="1"/>
      <c r="H238" s="1"/>
      <c r="I238" s="1"/>
      <c r="J238" s="1"/>
      <c r="K238" s="1"/>
      <c r="L238" s="1"/>
      <c r="M238" s="1"/>
      <c r="N238" s="1"/>
      <c r="O238" s="1"/>
      <c r="P238" s="1"/>
      <c r="Q238" s="1"/>
      <c r="R238" s="1"/>
      <c r="S238" s="1"/>
      <c r="T238" s="1"/>
    </row>
    <row r="239" spans="1:20" ht="13.5">
      <c r="A239" s="1"/>
      <c r="B239" s="1"/>
      <c r="C239" s="1"/>
      <c r="D239" s="1"/>
      <c r="E239" s="1"/>
      <c r="F239" s="1"/>
      <c r="G239" s="1"/>
      <c r="H239" s="1"/>
      <c r="I239" s="1"/>
      <c r="J239" s="1"/>
      <c r="K239" s="1"/>
      <c r="L239" s="1"/>
      <c r="M239" s="1"/>
      <c r="N239" s="1"/>
      <c r="O239" s="1"/>
      <c r="P239" s="1"/>
      <c r="Q239" s="1"/>
      <c r="R239" s="1"/>
      <c r="S239" s="1"/>
      <c r="T239" s="1"/>
    </row>
    <row r="240" spans="1:20" ht="13.5">
      <c r="A240" s="1"/>
      <c r="B240" s="1"/>
      <c r="C240" s="1"/>
      <c r="D240" s="1"/>
      <c r="E240" s="1"/>
      <c r="F240" s="1"/>
      <c r="G240" s="1"/>
      <c r="H240" s="1"/>
      <c r="I240" s="1"/>
      <c r="J240" s="1"/>
      <c r="K240" s="1"/>
      <c r="L240" s="1"/>
      <c r="M240" s="1"/>
      <c r="N240" s="1"/>
      <c r="O240" s="1"/>
      <c r="P240" s="1"/>
      <c r="Q240" s="1"/>
      <c r="R240" s="1"/>
      <c r="S240" s="1"/>
      <c r="T240" s="1"/>
    </row>
    <row r="241" spans="1:20" ht="13.5">
      <c r="A241" s="1"/>
      <c r="B241" s="1"/>
      <c r="C241" s="1"/>
      <c r="D241" s="1"/>
      <c r="E241" s="1"/>
      <c r="F241" s="1"/>
      <c r="G241" s="1"/>
      <c r="H241" s="1"/>
      <c r="I241" s="1"/>
      <c r="J241" s="1"/>
      <c r="K241" s="1"/>
      <c r="L241" s="1"/>
      <c r="M241" s="1"/>
      <c r="N241" s="1"/>
      <c r="O241" s="1"/>
      <c r="P241" s="1"/>
      <c r="Q241" s="1"/>
      <c r="R241" s="1"/>
      <c r="S241" s="1"/>
      <c r="T241" s="1"/>
    </row>
    <row r="242" spans="1:20" ht="13.5">
      <c r="A242" s="1"/>
      <c r="B242" s="1"/>
      <c r="C242" s="1"/>
      <c r="D242" s="1"/>
      <c r="E242" s="1"/>
      <c r="F242" s="1"/>
      <c r="G242" s="1"/>
      <c r="H242" s="1"/>
      <c r="I242" s="1"/>
      <c r="J242" s="1"/>
      <c r="K242" s="1"/>
      <c r="L242" s="1"/>
      <c r="M242" s="1"/>
      <c r="N242" s="1"/>
      <c r="O242" s="1"/>
      <c r="P242" s="1"/>
      <c r="Q242" s="1"/>
      <c r="R242" s="1"/>
      <c r="S242" s="1"/>
      <c r="T242" s="1"/>
    </row>
    <row r="243" spans="1:20" ht="13.5">
      <c r="A243" s="1"/>
      <c r="B243" s="1"/>
      <c r="C243" s="1"/>
      <c r="D243" s="1"/>
      <c r="E243" s="1"/>
      <c r="F243" s="1"/>
      <c r="G243" s="1"/>
      <c r="H243" s="1"/>
      <c r="I243" s="1"/>
      <c r="J243" s="1"/>
      <c r="K243" s="1"/>
      <c r="L243" s="1"/>
      <c r="M243" s="1"/>
      <c r="N243" s="1"/>
      <c r="O243" s="1"/>
      <c r="P243" s="1"/>
      <c r="Q243" s="1"/>
      <c r="R243" s="1"/>
      <c r="S243" s="1"/>
      <c r="T243" s="1"/>
    </row>
    <row r="244" spans="1:20" ht="13.5">
      <c r="A244" s="1"/>
      <c r="B244" s="1"/>
      <c r="C244" s="1"/>
      <c r="D244" s="1"/>
      <c r="E244" s="1"/>
      <c r="F244" s="1"/>
      <c r="G244" s="1"/>
      <c r="H244" s="1"/>
      <c r="I244" s="1"/>
      <c r="J244" s="1"/>
      <c r="K244" s="1"/>
      <c r="L244" s="1"/>
      <c r="M244" s="1"/>
      <c r="N244" s="1"/>
      <c r="O244" s="1"/>
      <c r="P244" s="1"/>
      <c r="Q244" s="1"/>
      <c r="R244" s="1"/>
      <c r="S244" s="1"/>
      <c r="T244" s="1"/>
    </row>
    <row r="245" spans="1:20" ht="13.5">
      <c r="A245" s="1"/>
      <c r="B245" s="1"/>
      <c r="C245" s="1"/>
      <c r="D245" s="1"/>
      <c r="E245" s="1"/>
      <c r="F245" s="1"/>
      <c r="G245" s="1"/>
      <c r="H245" s="1"/>
      <c r="I245" s="1"/>
      <c r="J245" s="1"/>
      <c r="K245" s="1"/>
      <c r="L245" s="1"/>
      <c r="M245" s="1"/>
      <c r="N245" s="1"/>
      <c r="O245" s="1"/>
      <c r="P245" s="1"/>
      <c r="Q245" s="1"/>
      <c r="R245" s="1"/>
      <c r="S245" s="1"/>
      <c r="T245" s="1"/>
    </row>
    <row r="246" spans="1:20" ht="13.5">
      <c r="A246" s="1"/>
      <c r="B246" s="1"/>
      <c r="C246" s="1"/>
      <c r="D246" s="1"/>
      <c r="E246" s="1"/>
      <c r="F246" s="1"/>
      <c r="G246" s="1"/>
      <c r="H246" s="1"/>
      <c r="I246" s="1"/>
      <c r="J246" s="1"/>
      <c r="K246" s="1"/>
      <c r="L246" s="1"/>
      <c r="M246" s="1"/>
      <c r="N246" s="1"/>
      <c r="O246" s="1"/>
      <c r="P246" s="1"/>
      <c r="Q246" s="1"/>
      <c r="R246" s="1"/>
      <c r="S246" s="1"/>
      <c r="T246" s="1"/>
    </row>
    <row r="247" spans="1:20" ht="13.5">
      <c r="A247" s="1"/>
      <c r="B247" s="1"/>
      <c r="C247" s="1"/>
      <c r="D247" s="1"/>
      <c r="E247" s="1"/>
      <c r="F247" s="1"/>
      <c r="G247" s="1"/>
      <c r="H247" s="1"/>
      <c r="I247" s="1"/>
      <c r="J247" s="1"/>
      <c r="K247" s="1"/>
      <c r="L247" s="1"/>
      <c r="M247" s="1"/>
      <c r="N247" s="1"/>
      <c r="O247" s="1"/>
      <c r="P247" s="1"/>
      <c r="Q247" s="1"/>
      <c r="R247" s="1"/>
      <c r="S247" s="1"/>
      <c r="T247" s="1"/>
    </row>
    <row r="248" spans="1:20" ht="13.5">
      <c r="A248" s="1"/>
      <c r="B248" s="1"/>
      <c r="C248" s="1"/>
      <c r="D248" s="1"/>
      <c r="E248" s="1"/>
      <c r="F248" s="1"/>
      <c r="G248" s="1"/>
      <c r="H248" s="1"/>
      <c r="I248" s="1"/>
      <c r="J248" s="1"/>
      <c r="K248" s="1"/>
      <c r="L248" s="1"/>
      <c r="M248" s="1"/>
      <c r="N248" s="1"/>
      <c r="O248" s="1"/>
      <c r="P248" s="1"/>
      <c r="Q248" s="1"/>
      <c r="R248" s="1"/>
      <c r="S248" s="1"/>
      <c r="T248" s="1"/>
    </row>
    <row r="249" spans="1:20" ht="13.5">
      <c r="A249" s="1"/>
      <c r="B249" s="1"/>
      <c r="C249" s="1"/>
      <c r="D249" s="1"/>
      <c r="E249" s="1"/>
      <c r="F249" s="1"/>
      <c r="G249" s="1"/>
      <c r="H249" s="1"/>
      <c r="I249" s="1"/>
      <c r="J249" s="1"/>
      <c r="K249" s="1"/>
      <c r="L249" s="1"/>
      <c r="M249" s="1"/>
      <c r="N249" s="1"/>
      <c r="O249" s="1"/>
      <c r="P249" s="1"/>
      <c r="Q249" s="1"/>
      <c r="R249" s="1"/>
      <c r="S249" s="1"/>
      <c r="T249" s="1"/>
    </row>
    <row r="250" spans="1:20" ht="13.5">
      <c r="A250" s="1"/>
      <c r="B250" s="1"/>
      <c r="C250" s="1"/>
      <c r="D250" s="1"/>
      <c r="E250" s="1"/>
      <c r="F250" s="1"/>
      <c r="G250" s="1"/>
      <c r="H250" s="1"/>
      <c r="I250" s="1"/>
      <c r="J250" s="1"/>
      <c r="K250" s="1"/>
      <c r="L250" s="1"/>
      <c r="M250" s="1"/>
      <c r="N250" s="1"/>
      <c r="O250" s="1"/>
      <c r="P250" s="1"/>
      <c r="Q250" s="1"/>
      <c r="R250" s="1"/>
      <c r="S250" s="1"/>
      <c r="T250" s="1"/>
    </row>
    <row r="251" spans="1:20" ht="13.5">
      <c r="A251" s="1"/>
      <c r="B251" s="1"/>
      <c r="C251" s="1"/>
      <c r="D251" s="1"/>
      <c r="E251" s="1"/>
      <c r="F251" s="1"/>
      <c r="G251" s="1"/>
      <c r="H251" s="1"/>
      <c r="I251" s="1"/>
      <c r="J251" s="1"/>
      <c r="K251" s="1"/>
      <c r="L251" s="1"/>
      <c r="M251" s="1"/>
      <c r="N251" s="1"/>
      <c r="O251" s="1"/>
      <c r="P251" s="1"/>
      <c r="Q251" s="1"/>
      <c r="R251" s="1"/>
      <c r="S251" s="1"/>
      <c r="T251" s="1"/>
    </row>
    <row r="252" spans="1:20" ht="13.5">
      <c r="A252" s="1"/>
      <c r="B252" s="1"/>
      <c r="C252" s="1"/>
      <c r="D252" s="1"/>
      <c r="E252" s="1"/>
      <c r="F252" s="1"/>
      <c r="G252" s="1"/>
      <c r="H252" s="1"/>
      <c r="I252" s="1"/>
      <c r="J252" s="1"/>
      <c r="K252" s="1"/>
      <c r="L252" s="1"/>
      <c r="M252" s="1"/>
      <c r="N252" s="1"/>
      <c r="O252" s="1"/>
      <c r="P252" s="1"/>
      <c r="Q252" s="1"/>
      <c r="R252" s="1"/>
      <c r="S252" s="1"/>
      <c r="T252" s="1"/>
    </row>
    <row r="253" spans="1:20" ht="13.5">
      <c r="A253" s="1"/>
      <c r="B253" s="1"/>
      <c r="C253" s="1"/>
      <c r="D253" s="1"/>
      <c r="E253" s="1"/>
      <c r="F253" s="1"/>
      <c r="G253" s="1"/>
      <c r="H253" s="1"/>
      <c r="I253" s="1"/>
      <c r="J253" s="1"/>
      <c r="K253" s="1"/>
      <c r="L253" s="1"/>
      <c r="M253" s="1"/>
      <c r="N253" s="1"/>
      <c r="O253" s="1"/>
      <c r="P253" s="1"/>
      <c r="Q253" s="1"/>
      <c r="R253" s="1"/>
      <c r="S253" s="1"/>
      <c r="T253" s="1"/>
    </row>
    <row r="254" spans="1:20" ht="13.5">
      <c r="A254" s="1"/>
      <c r="B254" s="1"/>
      <c r="C254" s="1"/>
      <c r="D254" s="1"/>
      <c r="E254" s="1"/>
      <c r="F254" s="1"/>
      <c r="G254" s="1"/>
      <c r="H254" s="1"/>
      <c r="I254" s="1"/>
      <c r="J254" s="1"/>
      <c r="K254" s="1"/>
      <c r="L254" s="1"/>
      <c r="M254" s="1"/>
      <c r="N254" s="1"/>
      <c r="O254" s="1"/>
      <c r="P254" s="1"/>
      <c r="Q254" s="1"/>
      <c r="R254" s="1"/>
      <c r="S254" s="1"/>
      <c r="T254" s="1"/>
    </row>
    <row r="255" spans="1:20" ht="13.5">
      <c r="A255" s="1"/>
      <c r="B255" s="1"/>
      <c r="C255" s="1"/>
      <c r="D255" s="1"/>
      <c r="E255" s="1"/>
      <c r="F255" s="1"/>
      <c r="G255" s="1"/>
      <c r="H255" s="1"/>
      <c r="I255" s="1"/>
      <c r="J255" s="1"/>
      <c r="K255" s="1"/>
      <c r="L255" s="1"/>
      <c r="M255" s="1"/>
      <c r="N255" s="1"/>
      <c r="O255" s="1"/>
      <c r="P255" s="1"/>
      <c r="Q255" s="1"/>
      <c r="R255" s="1"/>
      <c r="S255" s="1"/>
      <c r="T255" s="1"/>
    </row>
    <row r="256" spans="1:20" ht="13.5">
      <c r="A256" s="1"/>
      <c r="B256" s="1"/>
      <c r="C256" s="1"/>
      <c r="D256" s="1"/>
      <c r="E256" s="1"/>
      <c r="F256" s="1"/>
      <c r="G256" s="1"/>
      <c r="H256" s="1"/>
      <c r="I256" s="1"/>
      <c r="J256" s="1"/>
      <c r="K256" s="1"/>
      <c r="L256" s="1"/>
      <c r="M256" s="1"/>
      <c r="N256" s="1"/>
      <c r="O256" s="1"/>
      <c r="P256" s="1"/>
      <c r="Q256" s="1"/>
      <c r="R256" s="1"/>
      <c r="S256" s="1"/>
      <c r="T256" s="1"/>
    </row>
    <row r="257" spans="1:20" ht="13.5">
      <c r="A257" s="1"/>
      <c r="B257" s="1"/>
      <c r="C257" s="1"/>
      <c r="D257" s="1"/>
      <c r="E257" s="1"/>
      <c r="F257" s="1"/>
      <c r="G257" s="1"/>
      <c r="H257" s="1"/>
      <c r="I257" s="1"/>
      <c r="J257" s="1"/>
      <c r="K257" s="1"/>
      <c r="L257" s="1"/>
      <c r="M257" s="1"/>
      <c r="N257" s="1"/>
      <c r="O257" s="1"/>
      <c r="P257" s="1"/>
      <c r="Q257" s="1"/>
      <c r="R257" s="1"/>
      <c r="S257" s="1"/>
      <c r="T257" s="1"/>
    </row>
    <row r="258" spans="1:20" ht="13.5">
      <c r="A258" s="1"/>
      <c r="B258" s="1"/>
      <c r="C258" s="1"/>
      <c r="D258" s="1"/>
      <c r="E258" s="1"/>
      <c r="F258" s="1"/>
      <c r="G258" s="1"/>
      <c r="H258" s="1"/>
      <c r="I258" s="1"/>
      <c r="J258" s="1"/>
      <c r="K258" s="1"/>
      <c r="L258" s="1"/>
      <c r="M258" s="1"/>
      <c r="N258" s="1"/>
      <c r="O258" s="1"/>
      <c r="P258" s="1"/>
      <c r="Q258" s="1"/>
      <c r="R258" s="1"/>
      <c r="S258" s="1"/>
      <c r="T258" s="1"/>
    </row>
    <row r="259" spans="1:20" ht="13.5">
      <c r="A259" s="1"/>
      <c r="B259" s="1"/>
      <c r="C259" s="1"/>
      <c r="D259" s="1"/>
      <c r="E259" s="1"/>
      <c r="F259" s="1"/>
      <c r="G259" s="1"/>
      <c r="H259" s="1"/>
      <c r="I259" s="1"/>
      <c r="J259" s="1"/>
      <c r="K259" s="1"/>
      <c r="L259" s="1"/>
      <c r="M259" s="1"/>
      <c r="N259" s="1"/>
      <c r="O259" s="1"/>
      <c r="P259" s="1"/>
      <c r="Q259" s="1"/>
      <c r="R259" s="1"/>
      <c r="S259" s="1"/>
      <c r="T259" s="1"/>
    </row>
    <row r="260" spans="1:20" ht="13.5">
      <c r="A260" s="1"/>
      <c r="B260" s="1"/>
      <c r="C260" s="1"/>
      <c r="D260" s="1"/>
      <c r="E260" s="1"/>
      <c r="F260" s="1"/>
      <c r="G260" s="1"/>
      <c r="H260" s="1"/>
      <c r="I260" s="1"/>
      <c r="J260" s="1"/>
      <c r="K260" s="1"/>
      <c r="L260" s="1"/>
      <c r="M260" s="1"/>
      <c r="N260" s="1"/>
      <c r="O260" s="1"/>
      <c r="P260" s="1"/>
      <c r="Q260" s="1"/>
      <c r="R260" s="1"/>
      <c r="S260" s="1"/>
      <c r="T260" s="1"/>
    </row>
    <row r="261" spans="1:20" ht="13.5">
      <c r="A261" s="1"/>
      <c r="B261" s="1"/>
      <c r="C261" s="1"/>
      <c r="D261" s="1"/>
      <c r="E261" s="1"/>
      <c r="F261" s="1"/>
      <c r="G261" s="1"/>
      <c r="H261" s="1"/>
      <c r="I261" s="1"/>
      <c r="J261" s="1"/>
      <c r="K261" s="1"/>
      <c r="L261" s="1"/>
      <c r="M261" s="1"/>
      <c r="N261" s="1"/>
      <c r="O261" s="1"/>
      <c r="P261" s="1"/>
      <c r="Q261" s="1"/>
      <c r="R261" s="1"/>
      <c r="S261" s="1"/>
      <c r="T261" s="1"/>
    </row>
    <row r="262" spans="1:20" ht="13.5">
      <c r="A262" s="1"/>
      <c r="B262" s="1"/>
      <c r="C262" s="1"/>
      <c r="D262" s="1"/>
      <c r="E262" s="1"/>
      <c r="F262" s="1"/>
      <c r="G262" s="1"/>
      <c r="H262" s="1"/>
      <c r="I262" s="1"/>
      <c r="J262" s="1"/>
      <c r="K262" s="1"/>
      <c r="L262" s="1"/>
      <c r="M262" s="1"/>
      <c r="N262" s="1"/>
      <c r="O262" s="1"/>
      <c r="P262" s="1"/>
      <c r="Q262" s="1"/>
      <c r="R262" s="1"/>
      <c r="S262" s="1"/>
      <c r="T262" s="1"/>
    </row>
    <row r="263" spans="1:20" ht="13.5">
      <c r="A263" s="1"/>
      <c r="B263" s="1"/>
      <c r="C263" s="1"/>
      <c r="D263" s="1"/>
      <c r="E263" s="1"/>
      <c r="F263" s="1"/>
      <c r="G263" s="1"/>
      <c r="H263" s="1"/>
      <c r="I263" s="1"/>
      <c r="J263" s="1"/>
      <c r="K263" s="1"/>
      <c r="L263" s="1"/>
      <c r="M263" s="1"/>
      <c r="N263" s="1"/>
      <c r="O263" s="1"/>
      <c r="P263" s="1"/>
      <c r="Q263" s="1"/>
      <c r="R263" s="1"/>
      <c r="S263" s="1"/>
      <c r="T263" s="1"/>
    </row>
    <row r="264" spans="1:20" ht="13.5">
      <c r="A264" s="1"/>
      <c r="B264" s="1"/>
      <c r="C264" s="1"/>
      <c r="D264" s="1"/>
      <c r="E264" s="1"/>
      <c r="F264" s="1"/>
      <c r="G264" s="1"/>
      <c r="H264" s="1"/>
      <c r="I264" s="1"/>
      <c r="J264" s="1"/>
      <c r="K264" s="1"/>
      <c r="L264" s="1"/>
      <c r="M264" s="1"/>
      <c r="N264" s="1"/>
      <c r="O264" s="1"/>
      <c r="P264" s="1"/>
      <c r="Q264" s="1"/>
      <c r="R264" s="1"/>
      <c r="S264" s="1"/>
      <c r="T264" s="1"/>
    </row>
    <row r="265" spans="1:20" ht="13.5">
      <c r="A265" s="1"/>
      <c r="B265" s="1"/>
      <c r="C265" s="1"/>
      <c r="D265" s="1"/>
      <c r="E265" s="1"/>
      <c r="F265" s="1"/>
      <c r="G265" s="1"/>
      <c r="H265" s="1"/>
      <c r="I265" s="1"/>
      <c r="J265" s="1"/>
      <c r="K265" s="1"/>
      <c r="L265" s="1"/>
      <c r="M265" s="1"/>
      <c r="N265" s="1"/>
      <c r="O265" s="1"/>
      <c r="P265" s="1"/>
      <c r="Q265" s="1"/>
      <c r="R265" s="1"/>
      <c r="S265" s="1"/>
      <c r="T265" s="1"/>
    </row>
    <row r="266" spans="1:20" ht="13.5">
      <c r="A266" s="1"/>
      <c r="B266" s="1"/>
      <c r="C266" s="1"/>
      <c r="D266" s="1"/>
      <c r="E266" s="1"/>
      <c r="F266" s="1"/>
      <c r="G266" s="1"/>
      <c r="H266" s="1"/>
      <c r="I266" s="1"/>
      <c r="J266" s="1"/>
      <c r="K266" s="1"/>
      <c r="L266" s="1"/>
      <c r="M266" s="1"/>
      <c r="N266" s="1"/>
      <c r="O266" s="1"/>
      <c r="P266" s="1"/>
      <c r="Q266" s="1"/>
      <c r="R266" s="1"/>
      <c r="S266" s="1"/>
      <c r="T266" s="1"/>
    </row>
    <row r="267" spans="1:20" ht="13.5">
      <c r="A267" s="1"/>
      <c r="B267" s="1"/>
      <c r="C267" s="1"/>
      <c r="D267" s="1"/>
      <c r="E267" s="1"/>
      <c r="F267" s="1"/>
      <c r="G267" s="1"/>
      <c r="H267" s="1"/>
      <c r="I267" s="1"/>
      <c r="J267" s="1"/>
      <c r="K267" s="1"/>
      <c r="L267" s="1"/>
      <c r="M267" s="1"/>
      <c r="N267" s="1"/>
      <c r="O267" s="1"/>
      <c r="P267" s="1"/>
      <c r="Q267" s="1"/>
      <c r="R267" s="1"/>
      <c r="S267" s="1"/>
      <c r="T267" s="1"/>
    </row>
    <row r="268" spans="1:20" ht="13.5">
      <c r="A268" s="1"/>
      <c r="B268" s="1"/>
      <c r="C268" s="1"/>
      <c r="D268" s="1"/>
      <c r="E268" s="1"/>
      <c r="F268" s="1"/>
      <c r="G268" s="1"/>
      <c r="H268" s="1"/>
      <c r="I268" s="1"/>
      <c r="J268" s="1"/>
      <c r="K268" s="1"/>
      <c r="L268" s="1"/>
      <c r="M268" s="1"/>
      <c r="N268" s="1"/>
      <c r="O268" s="1"/>
      <c r="P268" s="1"/>
      <c r="Q268" s="1"/>
      <c r="R268" s="1"/>
      <c r="S268" s="1"/>
      <c r="T268" s="1"/>
    </row>
    <row r="269" spans="1:20" ht="13.5">
      <c r="A269" s="1"/>
      <c r="B269" s="1"/>
      <c r="C269" s="1"/>
      <c r="D269" s="1"/>
      <c r="E269" s="1"/>
      <c r="F269" s="1"/>
      <c r="G269" s="1"/>
      <c r="H269" s="1"/>
      <c r="I269" s="1"/>
      <c r="J269" s="1"/>
      <c r="K269" s="1"/>
      <c r="L269" s="1"/>
      <c r="M269" s="1"/>
      <c r="N269" s="1"/>
      <c r="O269" s="1"/>
      <c r="P269" s="1"/>
      <c r="Q269" s="1"/>
      <c r="R269" s="1"/>
      <c r="S269" s="1"/>
      <c r="T269" s="1"/>
    </row>
    <row r="270" spans="1:20" ht="13.5">
      <c r="A270" s="1"/>
      <c r="B270" s="1"/>
      <c r="C270" s="1"/>
      <c r="D270" s="1"/>
      <c r="E270" s="1"/>
      <c r="F270" s="1"/>
      <c r="G270" s="1"/>
      <c r="H270" s="1"/>
      <c r="I270" s="1"/>
      <c r="J270" s="1"/>
      <c r="K270" s="1"/>
      <c r="L270" s="1"/>
      <c r="M270" s="1"/>
      <c r="N270" s="1"/>
      <c r="O270" s="1"/>
      <c r="P270" s="1"/>
      <c r="Q270" s="1"/>
      <c r="R270" s="1"/>
      <c r="S270" s="1"/>
      <c r="T270" s="1"/>
    </row>
    <row r="271" spans="1:20" ht="13.5">
      <c r="A271" s="1"/>
      <c r="B271" s="1"/>
      <c r="C271" s="1"/>
      <c r="D271" s="1"/>
      <c r="E271" s="1"/>
      <c r="F271" s="1"/>
      <c r="G271" s="1"/>
      <c r="H271" s="1"/>
      <c r="I271" s="1"/>
      <c r="J271" s="1"/>
      <c r="K271" s="1"/>
      <c r="L271" s="1"/>
      <c r="M271" s="1"/>
      <c r="N271" s="1"/>
      <c r="O271" s="1"/>
      <c r="P271" s="1"/>
      <c r="Q271" s="1"/>
      <c r="R271" s="1"/>
      <c r="S271" s="1"/>
      <c r="T271" s="1"/>
    </row>
    <row r="272" spans="1:20" ht="13.5">
      <c r="A272" s="1"/>
      <c r="B272" s="1"/>
      <c r="C272" s="1"/>
      <c r="D272" s="1"/>
      <c r="E272" s="1"/>
      <c r="F272" s="1"/>
      <c r="G272" s="1"/>
      <c r="H272" s="1"/>
      <c r="I272" s="1"/>
      <c r="J272" s="1"/>
      <c r="K272" s="1"/>
      <c r="L272" s="1"/>
      <c r="M272" s="1"/>
      <c r="N272" s="1"/>
      <c r="O272" s="1"/>
      <c r="P272" s="1"/>
      <c r="Q272" s="1"/>
      <c r="R272" s="1"/>
      <c r="S272" s="1"/>
      <c r="T272" s="1"/>
    </row>
    <row r="273" spans="1:20" ht="13.5">
      <c r="A273" s="1"/>
      <c r="B273" s="1"/>
      <c r="C273" s="1"/>
      <c r="D273" s="1"/>
      <c r="E273" s="1"/>
      <c r="F273" s="1"/>
      <c r="G273" s="1"/>
      <c r="H273" s="1"/>
      <c r="I273" s="1"/>
      <c r="J273" s="1"/>
      <c r="K273" s="1"/>
      <c r="L273" s="1"/>
      <c r="M273" s="1"/>
      <c r="N273" s="1"/>
      <c r="O273" s="1"/>
      <c r="P273" s="1"/>
      <c r="Q273" s="1"/>
      <c r="R273" s="1"/>
      <c r="S273" s="1"/>
      <c r="T273" s="1"/>
    </row>
    <row r="274" spans="1:20" ht="13.5">
      <c r="A274" s="1"/>
      <c r="B274" s="1"/>
      <c r="C274" s="1"/>
      <c r="D274" s="1"/>
      <c r="E274" s="1"/>
      <c r="F274" s="1"/>
      <c r="G274" s="1"/>
      <c r="H274" s="1"/>
      <c r="I274" s="1"/>
      <c r="J274" s="1"/>
      <c r="K274" s="1"/>
      <c r="L274" s="1"/>
      <c r="M274" s="1"/>
      <c r="N274" s="1"/>
      <c r="O274" s="1"/>
      <c r="P274" s="1"/>
      <c r="Q274" s="1"/>
      <c r="R274" s="1"/>
      <c r="S274" s="1"/>
      <c r="T274" s="1"/>
    </row>
    <row r="275" spans="1:20" ht="13.5">
      <c r="A275" s="1"/>
      <c r="B275" s="1"/>
      <c r="C275" s="1"/>
      <c r="D275" s="1"/>
      <c r="E275" s="1"/>
      <c r="F275" s="1"/>
      <c r="G275" s="1"/>
      <c r="H275" s="1"/>
      <c r="I275" s="1"/>
      <c r="J275" s="1"/>
      <c r="K275" s="1"/>
      <c r="L275" s="1"/>
      <c r="M275" s="1"/>
      <c r="N275" s="1"/>
      <c r="O275" s="1"/>
      <c r="P275" s="1"/>
      <c r="Q275" s="1"/>
      <c r="R275" s="1"/>
      <c r="S275" s="1"/>
      <c r="T275" s="1"/>
    </row>
    <row r="276" spans="1:20" ht="13.5">
      <c r="A276" s="1"/>
      <c r="B276" s="1"/>
      <c r="C276" s="1"/>
      <c r="D276" s="1"/>
      <c r="E276" s="1"/>
      <c r="F276" s="1"/>
      <c r="G276" s="1"/>
      <c r="H276" s="1"/>
      <c r="I276" s="1"/>
      <c r="J276" s="1"/>
      <c r="K276" s="1"/>
      <c r="L276" s="1"/>
      <c r="M276" s="1"/>
      <c r="N276" s="1"/>
      <c r="O276" s="1"/>
      <c r="P276" s="1"/>
      <c r="Q276" s="1"/>
      <c r="R276" s="1"/>
      <c r="S276" s="1"/>
      <c r="T276" s="1"/>
    </row>
    <row r="277" spans="1:20" ht="13.5">
      <c r="A277" s="1"/>
      <c r="B277" s="1"/>
      <c r="C277" s="1"/>
      <c r="D277" s="1"/>
      <c r="E277" s="1"/>
      <c r="F277" s="1"/>
      <c r="G277" s="1"/>
      <c r="H277" s="1"/>
      <c r="I277" s="1"/>
      <c r="J277" s="1"/>
      <c r="K277" s="1"/>
      <c r="L277" s="1"/>
      <c r="M277" s="1"/>
      <c r="N277" s="1"/>
      <c r="O277" s="1"/>
      <c r="P277" s="1"/>
      <c r="Q277" s="1"/>
      <c r="R277" s="1"/>
      <c r="S277" s="1"/>
      <c r="T277" s="1"/>
    </row>
    <row r="278" spans="1:20" ht="13.5">
      <c r="A278" s="1"/>
      <c r="B278" s="1"/>
      <c r="C278" s="1"/>
      <c r="D278" s="1"/>
      <c r="E278" s="1"/>
      <c r="F278" s="1"/>
      <c r="G278" s="1"/>
      <c r="H278" s="1"/>
      <c r="I278" s="1"/>
      <c r="J278" s="1"/>
      <c r="K278" s="1"/>
      <c r="L278" s="1"/>
      <c r="M278" s="1"/>
      <c r="N278" s="1"/>
      <c r="O278" s="1"/>
      <c r="P278" s="1"/>
      <c r="Q278" s="1"/>
      <c r="R278" s="1"/>
      <c r="S278" s="1"/>
      <c r="T278" s="1"/>
    </row>
    <row r="279" spans="1:20" ht="13.5">
      <c r="A279" s="1"/>
      <c r="B279" s="1"/>
      <c r="C279" s="1"/>
      <c r="D279" s="1"/>
      <c r="E279" s="1"/>
      <c r="F279" s="1"/>
      <c r="G279" s="1"/>
      <c r="H279" s="1"/>
      <c r="I279" s="1"/>
      <c r="J279" s="1"/>
      <c r="K279" s="1"/>
      <c r="L279" s="1"/>
      <c r="M279" s="1"/>
      <c r="N279" s="1"/>
      <c r="O279" s="1"/>
      <c r="P279" s="1"/>
      <c r="Q279" s="1"/>
      <c r="R279" s="1"/>
      <c r="S279" s="1"/>
      <c r="T279" s="1"/>
    </row>
    <row r="280" spans="1:20" ht="13.5">
      <c r="A280" s="1"/>
      <c r="B280" s="1"/>
      <c r="C280" s="1"/>
      <c r="D280" s="1"/>
      <c r="E280" s="1"/>
      <c r="F280" s="1"/>
      <c r="G280" s="1"/>
      <c r="H280" s="1"/>
      <c r="I280" s="1"/>
      <c r="J280" s="1"/>
      <c r="K280" s="1"/>
      <c r="L280" s="1"/>
      <c r="M280" s="1"/>
      <c r="N280" s="1"/>
      <c r="O280" s="1"/>
      <c r="P280" s="1"/>
      <c r="Q280" s="1"/>
      <c r="R280" s="1"/>
      <c r="S280" s="1"/>
      <c r="T280" s="1"/>
    </row>
    <row r="281" spans="1:20" ht="13.5">
      <c r="A281" s="1"/>
      <c r="B281" s="1"/>
      <c r="C281" s="1"/>
      <c r="D281" s="1"/>
      <c r="E281" s="1"/>
      <c r="F281" s="1"/>
      <c r="G281" s="1"/>
      <c r="H281" s="1"/>
      <c r="I281" s="1"/>
      <c r="J281" s="1"/>
      <c r="K281" s="1"/>
      <c r="L281" s="1"/>
      <c r="M281" s="1"/>
      <c r="N281" s="1"/>
      <c r="O281" s="1"/>
      <c r="P281" s="1"/>
      <c r="Q281" s="1"/>
      <c r="R281" s="1"/>
      <c r="S281" s="1"/>
      <c r="T281" s="1"/>
    </row>
    <row r="282" spans="1:20" ht="13.5">
      <c r="A282" s="1"/>
      <c r="B282" s="1"/>
      <c r="C282" s="1"/>
      <c r="D282" s="1"/>
      <c r="E282" s="1"/>
      <c r="F282" s="1"/>
      <c r="G282" s="1"/>
      <c r="H282" s="1"/>
      <c r="I282" s="1"/>
      <c r="J282" s="1"/>
      <c r="K282" s="1"/>
      <c r="L282" s="1"/>
      <c r="M282" s="1"/>
      <c r="N282" s="1"/>
      <c r="O282" s="1"/>
      <c r="P282" s="1"/>
      <c r="Q282" s="1"/>
      <c r="R282" s="1"/>
      <c r="S282" s="1"/>
      <c r="T282" s="1"/>
    </row>
    <row r="283" spans="1:20" ht="13.5">
      <c r="A283" s="1"/>
      <c r="B283" s="1"/>
      <c r="C283" s="1"/>
      <c r="D283" s="1"/>
      <c r="E283" s="1"/>
      <c r="F283" s="1"/>
      <c r="G283" s="1"/>
      <c r="H283" s="1"/>
      <c r="I283" s="1"/>
      <c r="J283" s="1"/>
      <c r="K283" s="1"/>
      <c r="L283" s="1"/>
      <c r="M283" s="1"/>
      <c r="N283" s="1"/>
      <c r="O283" s="1"/>
      <c r="P283" s="1"/>
      <c r="Q283" s="1"/>
      <c r="R283" s="1"/>
      <c r="S283" s="1"/>
      <c r="T283" s="1"/>
    </row>
    <row r="284" spans="1:20" ht="13.5">
      <c r="A284" s="1"/>
      <c r="B284" s="1"/>
      <c r="C284" s="1"/>
      <c r="D284" s="1"/>
      <c r="E284" s="1"/>
      <c r="F284" s="1"/>
      <c r="G284" s="1"/>
      <c r="H284" s="1"/>
      <c r="I284" s="1"/>
      <c r="J284" s="1"/>
      <c r="K284" s="1"/>
      <c r="L284" s="1"/>
      <c r="M284" s="1"/>
      <c r="N284" s="1"/>
      <c r="O284" s="1"/>
      <c r="P284" s="1"/>
      <c r="Q284" s="1"/>
      <c r="R284" s="1"/>
      <c r="S284" s="1"/>
      <c r="T284" s="1"/>
    </row>
    <row r="285" spans="1:20" ht="13.5">
      <c r="A285" s="1"/>
      <c r="B285" s="1"/>
      <c r="C285" s="1"/>
      <c r="D285" s="1"/>
      <c r="E285" s="1"/>
      <c r="F285" s="1"/>
      <c r="G285" s="1"/>
      <c r="H285" s="1"/>
      <c r="I285" s="1"/>
      <c r="J285" s="1"/>
      <c r="K285" s="1"/>
      <c r="L285" s="1"/>
      <c r="M285" s="1"/>
      <c r="N285" s="1"/>
      <c r="O285" s="1"/>
      <c r="P285" s="1"/>
      <c r="Q285" s="1"/>
      <c r="R285" s="1"/>
      <c r="S285" s="1"/>
      <c r="T285" s="1"/>
    </row>
    <row r="286" spans="1:20" ht="13.5">
      <c r="A286" s="1"/>
      <c r="B286" s="1"/>
      <c r="C286" s="1"/>
      <c r="D286" s="1"/>
      <c r="E286" s="1"/>
      <c r="F286" s="1"/>
      <c r="G286" s="1"/>
      <c r="H286" s="1"/>
      <c r="I286" s="1"/>
      <c r="J286" s="1"/>
      <c r="K286" s="1"/>
      <c r="L286" s="1"/>
      <c r="M286" s="1"/>
      <c r="N286" s="1"/>
      <c r="O286" s="1"/>
      <c r="P286" s="1"/>
      <c r="Q286" s="1"/>
      <c r="R286" s="1"/>
      <c r="S286" s="1"/>
      <c r="T286" s="1"/>
    </row>
    <row r="287" spans="1:20" ht="13.5">
      <c r="A287" s="1"/>
      <c r="B287" s="1"/>
      <c r="C287" s="1"/>
      <c r="D287" s="1"/>
      <c r="E287" s="1"/>
      <c r="F287" s="1"/>
      <c r="G287" s="1"/>
      <c r="H287" s="1"/>
      <c r="I287" s="1"/>
      <c r="J287" s="1"/>
      <c r="K287" s="1"/>
      <c r="L287" s="1"/>
      <c r="M287" s="1"/>
      <c r="N287" s="1"/>
      <c r="O287" s="1"/>
      <c r="P287" s="1"/>
      <c r="Q287" s="1"/>
      <c r="R287" s="1"/>
      <c r="S287" s="1"/>
      <c r="T287" s="1"/>
    </row>
    <row r="288" spans="1:20" ht="13.5">
      <c r="A288" s="1"/>
      <c r="B288" s="1"/>
      <c r="C288" s="1"/>
      <c r="D288" s="1"/>
      <c r="E288" s="1"/>
      <c r="F288" s="1"/>
      <c r="G288" s="1"/>
      <c r="H288" s="1"/>
      <c r="I288" s="1"/>
      <c r="J288" s="1"/>
      <c r="K288" s="1"/>
      <c r="L288" s="1"/>
      <c r="M288" s="1"/>
      <c r="N288" s="1"/>
      <c r="O288" s="1"/>
      <c r="P288" s="1"/>
      <c r="Q288" s="1"/>
      <c r="R288" s="1"/>
      <c r="S288" s="1"/>
      <c r="T288" s="1"/>
    </row>
    <row r="289" spans="1:20" ht="13.5">
      <c r="A289" s="1"/>
      <c r="B289" s="1"/>
      <c r="C289" s="1"/>
      <c r="D289" s="1"/>
      <c r="E289" s="1"/>
      <c r="F289" s="1"/>
      <c r="G289" s="1"/>
      <c r="H289" s="1"/>
      <c r="I289" s="1"/>
      <c r="J289" s="1"/>
      <c r="K289" s="1"/>
      <c r="L289" s="1"/>
      <c r="M289" s="1"/>
      <c r="N289" s="1"/>
      <c r="O289" s="1"/>
      <c r="P289" s="1"/>
      <c r="Q289" s="1"/>
      <c r="R289" s="1"/>
      <c r="S289" s="1"/>
      <c r="T289" s="1"/>
    </row>
    <row r="290" spans="1:20" ht="13.5">
      <c r="A290" s="1"/>
      <c r="B290" s="1"/>
      <c r="C290" s="1"/>
      <c r="D290" s="1"/>
      <c r="E290" s="1"/>
      <c r="F290" s="1"/>
      <c r="G290" s="1"/>
      <c r="H290" s="1"/>
      <c r="I290" s="1"/>
      <c r="J290" s="1"/>
      <c r="K290" s="1"/>
      <c r="L290" s="1"/>
      <c r="M290" s="1"/>
      <c r="N290" s="1"/>
      <c r="O290" s="1"/>
      <c r="P290" s="1"/>
      <c r="Q290" s="1"/>
      <c r="R290" s="1"/>
      <c r="S290" s="1"/>
      <c r="T290" s="1"/>
    </row>
    <row r="291" spans="1:20" ht="13.5">
      <c r="A291" s="1"/>
      <c r="B291" s="1"/>
      <c r="C291" s="1"/>
      <c r="D291" s="1"/>
      <c r="E291" s="1"/>
      <c r="F291" s="1"/>
      <c r="G291" s="1"/>
      <c r="H291" s="1"/>
      <c r="I291" s="1"/>
      <c r="J291" s="1"/>
      <c r="K291" s="1"/>
      <c r="L291" s="1"/>
      <c r="M291" s="1"/>
      <c r="N291" s="1"/>
      <c r="O291" s="1"/>
      <c r="P291" s="1"/>
      <c r="Q291" s="1"/>
      <c r="R291" s="1"/>
      <c r="S291" s="1"/>
      <c r="T291" s="1"/>
    </row>
    <row r="292" spans="1:20" ht="13.5">
      <c r="A292" s="1"/>
      <c r="B292" s="1"/>
      <c r="C292" s="1"/>
      <c r="D292" s="1"/>
      <c r="E292" s="1"/>
      <c r="F292" s="1"/>
      <c r="G292" s="1"/>
      <c r="H292" s="1"/>
      <c r="I292" s="1"/>
      <c r="J292" s="1"/>
      <c r="K292" s="1"/>
      <c r="L292" s="1"/>
      <c r="M292" s="1"/>
      <c r="N292" s="1"/>
      <c r="O292" s="1"/>
      <c r="P292" s="1"/>
      <c r="Q292" s="1"/>
      <c r="R292" s="1"/>
      <c r="S292" s="1"/>
      <c r="T292" s="1"/>
    </row>
    <row r="293" spans="1:20" ht="13.5">
      <c r="A293" s="1"/>
      <c r="B293" s="1"/>
      <c r="C293" s="1"/>
      <c r="D293" s="1"/>
      <c r="E293" s="1"/>
      <c r="F293" s="1"/>
      <c r="G293" s="1"/>
      <c r="H293" s="1"/>
      <c r="I293" s="1"/>
      <c r="J293" s="1"/>
      <c r="K293" s="1"/>
      <c r="L293" s="1"/>
      <c r="M293" s="1"/>
      <c r="N293" s="1"/>
      <c r="O293" s="1"/>
      <c r="P293" s="1"/>
      <c r="Q293" s="1"/>
      <c r="R293" s="1"/>
      <c r="S293" s="1"/>
      <c r="T293" s="1"/>
    </row>
    <row r="294" spans="1:20" ht="13.5">
      <c r="A294" s="1"/>
      <c r="B294" s="1"/>
      <c r="C294" s="1"/>
      <c r="D294" s="1"/>
      <c r="E294" s="1"/>
      <c r="F294" s="1"/>
      <c r="G294" s="1"/>
      <c r="H294" s="1"/>
      <c r="I294" s="1"/>
      <c r="J294" s="1"/>
      <c r="K294" s="1"/>
      <c r="L294" s="1"/>
      <c r="M294" s="1"/>
      <c r="N294" s="1"/>
      <c r="O294" s="1"/>
      <c r="P294" s="1"/>
      <c r="Q294" s="1"/>
      <c r="R294" s="1"/>
      <c r="S294" s="1"/>
      <c r="T294" s="1"/>
    </row>
    <row r="295" spans="1:20" ht="13.5">
      <c r="A295" s="1"/>
      <c r="B295" s="1"/>
      <c r="C295" s="1"/>
      <c r="D295" s="1"/>
      <c r="E295" s="1"/>
      <c r="F295" s="1"/>
      <c r="G295" s="1"/>
      <c r="H295" s="1"/>
      <c r="I295" s="1"/>
      <c r="J295" s="1"/>
      <c r="K295" s="1"/>
      <c r="L295" s="1"/>
      <c r="M295" s="1"/>
      <c r="N295" s="1"/>
      <c r="O295" s="1"/>
      <c r="P295" s="1"/>
      <c r="Q295" s="1"/>
      <c r="R295" s="1"/>
      <c r="S295" s="1"/>
      <c r="T295" s="1"/>
    </row>
    <row r="296" spans="1:20" ht="13.5">
      <c r="A296" s="1"/>
      <c r="B296" s="1"/>
      <c r="C296" s="1"/>
      <c r="D296" s="1"/>
      <c r="E296" s="1"/>
      <c r="F296" s="1"/>
      <c r="G296" s="1"/>
      <c r="H296" s="1"/>
      <c r="I296" s="1"/>
      <c r="J296" s="1"/>
      <c r="K296" s="1"/>
      <c r="L296" s="1"/>
      <c r="M296" s="1"/>
      <c r="N296" s="1"/>
      <c r="O296" s="1"/>
      <c r="P296" s="1"/>
      <c r="Q296" s="1"/>
      <c r="R296" s="1"/>
      <c r="S296" s="1"/>
      <c r="T296" s="1"/>
    </row>
    <row r="297" spans="1:20" ht="13.5">
      <c r="A297" s="1"/>
      <c r="B297" s="1"/>
      <c r="C297" s="1"/>
      <c r="D297" s="1"/>
      <c r="E297" s="1"/>
      <c r="F297" s="1"/>
      <c r="G297" s="1"/>
      <c r="H297" s="1"/>
      <c r="I297" s="1"/>
      <c r="J297" s="1"/>
      <c r="K297" s="1"/>
      <c r="L297" s="1"/>
      <c r="M297" s="1"/>
      <c r="N297" s="1"/>
      <c r="O297" s="1"/>
      <c r="P297" s="1"/>
      <c r="Q297" s="1"/>
      <c r="R297" s="1"/>
      <c r="S297" s="1"/>
      <c r="T297" s="1"/>
    </row>
    <row r="298" spans="1:20" ht="13.5">
      <c r="A298" s="1"/>
      <c r="B298" s="1"/>
      <c r="C298" s="1"/>
      <c r="D298" s="1"/>
      <c r="E298" s="1"/>
      <c r="F298" s="1"/>
      <c r="G298" s="1"/>
      <c r="H298" s="1"/>
      <c r="I298" s="1"/>
      <c r="J298" s="1"/>
      <c r="K298" s="1"/>
      <c r="L298" s="1"/>
      <c r="M298" s="1"/>
      <c r="N298" s="1"/>
      <c r="O298" s="1"/>
      <c r="P298" s="1"/>
      <c r="Q298" s="1"/>
      <c r="R298" s="1"/>
      <c r="S298" s="1"/>
      <c r="T298" s="1"/>
    </row>
    <row r="299" spans="1:20" ht="13.5">
      <c r="A299" s="1"/>
      <c r="B299" s="1"/>
      <c r="C299" s="1"/>
      <c r="D299" s="1"/>
      <c r="E299" s="1"/>
      <c r="F299" s="1"/>
      <c r="G299" s="1"/>
      <c r="H299" s="1"/>
      <c r="I299" s="1"/>
      <c r="J299" s="1"/>
      <c r="K299" s="1"/>
      <c r="L299" s="1"/>
      <c r="M299" s="1"/>
      <c r="N299" s="1"/>
      <c r="O299" s="1"/>
      <c r="P299" s="1"/>
      <c r="Q299" s="1"/>
      <c r="R299" s="1"/>
      <c r="S299" s="1"/>
      <c r="T299" s="1"/>
    </row>
    <row r="300" spans="1:20" ht="13.5">
      <c r="A300" s="1"/>
      <c r="B300" s="1"/>
      <c r="C300" s="1"/>
      <c r="D300" s="1"/>
      <c r="E300" s="1"/>
      <c r="F300" s="1"/>
      <c r="G300" s="1"/>
      <c r="H300" s="1"/>
      <c r="I300" s="1"/>
      <c r="J300" s="1"/>
      <c r="K300" s="1"/>
      <c r="L300" s="1"/>
      <c r="M300" s="1"/>
      <c r="N300" s="1"/>
      <c r="O300" s="1"/>
      <c r="P300" s="1"/>
      <c r="Q300" s="1"/>
      <c r="R300" s="1"/>
      <c r="S300" s="1"/>
      <c r="T300" s="1"/>
    </row>
    <row r="301" spans="1:20" ht="13.5">
      <c r="A301" s="1"/>
      <c r="B301" s="1"/>
      <c r="C301" s="1"/>
      <c r="D301" s="1"/>
      <c r="E301" s="1"/>
      <c r="F301" s="1"/>
      <c r="G301" s="1"/>
      <c r="H301" s="1"/>
      <c r="I301" s="1"/>
      <c r="J301" s="1"/>
      <c r="K301" s="1"/>
      <c r="L301" s="1"/>
      <c r="M301" s="1"/>
      <c r="N301" s="1"/>
      <c r="O301" s="1"/>
      <c r="P301" s="1"/>
      <c r="Q301" s="1"/>
      <c r="R301" s="1"/>
      <c r="S301" s="1"/>
      <c r="T301" s="1"/>
    </row>
    <row r="302" spans="1:20" ht="13.5">
      <c r="A302" s="1"/>
      <c r="B302" s="1"/>
      <c r="C302" s="1"/>
      <c r="D302" s="1"/>
      <c r="E302" s="1"/>
      <c r="F302" s="1"/>
      <c r="G302" s="1"/>
      <c r="H302" s="1"/>
      <c r="I302" s="1"/>
      <c r="J302" s="1"/>
      <c r="K302" s="1"/>
      <c r="L302" s="1"/>
      <c r="M302" s="1"/>
      <c r="N302" s="1"/>
      <c r="O302" s="1"/>
      <c r="P302" s="1"/>
      <c r="Q302" s="1"/>
      <c r="R302" s="1"/>
      <c r="S302" s="1"/>
      <c r="T302" s="1"/>
    </row>
    <row r="303" spans="1:20" ht="13.5">
      <c r="A303" s="1"/>
      <c r="B303" s="1"/>
      <c r="C303" s="1"/>
      <c r="D303" s="1"/>
      <c r="E303" s="1"/>
      <c r="F303" s="1"/>
      <c r="G303" s="1"/>
      <c r="H303" s="1"/>
      <c r="I303" s="1"/>
      <c r="J303" s="1"/>
      <c r="K303" s="1"/>
      <c r="L303" s="1"/>
      <c r="M303" s="1"/>
      <c r="N303" s="1"/>
      <c r="O303" s="1"/>
      <c r="P303" s="1"/>
      <c r="Q303" s="1"/>
      <c r="R303" s="1"/>
      <c r="S303" s="1"/>
      <c r="T303" s="1"/>
    </row>
    <row r="304" spans="1:20" ht="13.5">
      <c r="A304" s="1"/>
      <c r="B304" s="1"/>
      <c r="C304" s="1"/>
      <c r="D304" s="1"/>
      <c r="E304" s="1"/>
      <c r="F304" s="1"/>
      <c r="G304" s="1"/>
      <c r="H304" s="1"/>
      <c r="I304" s="1"/>
      <c r="J304" s="1"/>
      <c r="K304" s="1"/>
      <c r="L304" s="1"/>
      <c r="M304" s="1"/>
      <c r="N304" s="1"/>
      <c r="O304" s="1"/>
      <c r="P304" s="1"/>
      <c r="Q304" s="1"/>
      <c r="R304" s="1"/>
      <c r="S304" s="1"/>
      <c r="T304" s="1"/>
    </row>
    <row r="305" spans="1:20" ht="13.5">
      <c r="A305" s="1"/>
      <c r="B305" s="1"/>
      <c r="C305" s="1"/>
      <c r="D305" s="1"/>
      <c r="E305" s="1"/>
      <c r="F305" s="1"/>
      <c r="G305" s="1"/>
      <c r="H305" s="1"/>
      <c r="I305" s="1"/>
      <c r="J305" s="1"/>
      <c r="K305" s="1"/>
      <c r="L305" s="1"/>
      <c r="M305" s="1"/>
      <c r="N305" s="1"/>
      <c r="O305" s="1"/>
      <c r="P305" s="1"/>
      <c r="Q305" s="1"/>
      <c r="R305" s="1"/>
      <c r="S305" s="1"/>
      <c r="T305" s="1"/>
    </row>
    <row r="306" spans="1:20" ht="13.5">
      <c r="A306" s="1"/>
      <c r="B306" s="1"/>
      <c r="C306" s="1"/>
      <c r="D306" s="1"/>
      <c r="E306" s="1"/>
      <c r="F306" s="1"/>
      <c r="G306" s="1"/>
      <c r="H306" s="1"/>
      <c r="I306" s="1"/>
      <c r="J306" s="1"/>
      <c r="K306" s="1"/>
      <c r="L306" s="1"/>
      <c r="M306" s="1"/>
      <c r="N306" s="1"/>
      <c r="O306" s="1"/>
      <c r="P306" s="1"/>
      <c r="Q306" s="1"/>
      <c r="R306" s="1"/>
      <c r="S306" s="1"/>
      <c r="T306" s="1"/>
    </row>
    <row r="307" spans="1:20" ht="13.5">
      <c r="A307" s="1"/>
      <c r="B307" s="1"/>
      <c r="C307" s="1"/>
      <c r="D307" s="1"/>
      <c r="E307" s="1"/>
      <c r="F307" s="1"/>
      <c r="G307" s="1"/>
      <c r="H307" s="1"/>
      <c r="I307" s="1"/>
      <c r="J307" s="1"/>
      <c r="K307" s="1"/>
      <c r="L307" s="1"/>
      <c r="M307" s="1"/>
      <c r="N307" s="1"/>
      <c r="O307" s="1"/>
      <c r="P307" s="1"/>
      <c r="Q307" s="1"/>
      <c r="R307" s="1"/>
      <c r="S307" s="1"/>
      <c r="T307" s="1"/>
    </row>
    <row r="308" spans="1:20" ht="13.5">
      <c r="A308" s="1"/>
      <c r="B308" s="1"/>
      <c r="C308" s="1"/>
      <c r="D308" s="1"/>
      <c r="E308" s="1"/>
      <c r="F308" s="1"/>
      <c r="G308" s="1"/>
      <c r="H308" s="1"/>
      <c r="I308" s="1"/>
      <c r="J308" s="1"/>
      <c r="K308" s="1"/>
      <c r="L308" s="1"/>
      <c r="M308" s="1"/>
      <c r="N308" s="1"/>
      <c r="O308" s="1"/>
      <c r="P308" s="1"/>
      <c r="Q308" s="1"/>
      <c r="R308" s="1"/>
      <c r="S308" s="1"/>
      <c r="T308" s="1"/>
    </row>
    <row r="309" spans="1:20" ht="13.5">
      <c r="A309" s="1"/>
      <c r="B309" s="1"/>
      <c r="C309" s="1"/>
      <c r="D309" s="1"/>
      <c r="E309" s="1"/>
      <c r="F309" s="1"/>
      <c r="G309" s="1"/>
      <c r="H309" s="1"/>
      <c r="I309" s="1"/>
      <c r="J309" s="1"/>
      <c r="K309" s="1"/>
      <c r="L309" s="1"/>
      <c r="M309" s="1"/>
      <c r="N309" s="1"/>
      <c r="O309" s="1"/>
      <c r="P309" s="1"/>
      <c r="Q309" s="1"/>
      <c r="R309" s="1"/>
      <c r="S309" s="1"/>
      <c r="T309" s="1"/>
    </row>
    <row r="310" spans="1:20" ht="13.5">
      <c r="A310" s="1"/>
      <c r="B310" s="1"/>
      <c r="C310" s="1"/>
      <c r="D310" s="1"/>
      <c r="E310" s="1"/>
      <c r="F310" s="1"/>
      <c r="G310" s="1"/>
      <c r="H310" s="1"/>
      <c r="I310" s="1"/>
      <c r="J310" s="1"/>
      <c r="K310" s="1"/>
      <c r="L310" s="1"/>
      <c r="M310" s="1"/>
      <c r="N310" s="1"/>
      <c r="O310" s="1"/>
      <c r="P310" s="1"/>
      <c r="Q310" s="1"/>
      <c r="R310" s="1"/>
      <c r="S310" s="1"/>
      <c r="T310" s="1"/>
    </row>
    <row r="311" spans="1:20" ht="13.5">
      <c r="A311" s="1"/>
      <c r="B311" s="1"/>
      <c r="C311" s="1"/>
      <c r="D311" s="1"/>
      <c r="E311" s="1"/>
      <c r="F311" s="1"/>
      <c r="G311" s="1"/>
      <c r="H311" s="1"/>
      <c r="I311" s="1"/>
      <c r="J311" s="1"/>
      <c r="K311" s="1"/>
      <c r="L311" s="1"/>
      <c r="M311" s="1"/>
      <c r="N311" s="1"/>
      <c r="O311" s="1"/>
      <c r="P311" s="1"/>
      <c r="Q311" s="1"/>
      <c r="R311" s="1"/>
      <c r="S311" s="1"/>
      <c r="T311" s="1"/>
    </row>
    <row r="312" spans="1:20" ht="13.5">
      <c r="A312" s="1"/>
      <c r="B312" s="1"/>
      <c r="C312" s="1"/>
      <c r="D312" s="1"/>
      <c r="E312" s="1"/>
      <c r="F312" s="1"/>
      <c r="G312" s="1"/>
      <c r="H312" s="1"/>
      <c r="I312" s="1"/>
      <c r="J312" s="1"/>
      <c r="K312" s="1"/>
      <c r="L312" s="1"/>
      <c r="M312" s="1"/>
      <c r="N312" s="1"/>
      <c r="O312" s="1"/>
      <c r="P312" s="1"/>
      <c r="Q312" s="1"/>
      <c r="R312" s="1"/>
      <c r="S312" s="1"/>
      <c r="T312" s="1"/>
    </row>
    <row r="313" spans="1:20" ht="13.5">
      <c r="A313" s="1"/>
      <c r="B313" s="1"/>
      <c r="C313" s="1"/>
      <c r="D313" s="1"/>
      <c r="E313" s="1"/>
      <c r="F313" s="1"/>
      <c r="G313" s="1"/>
      <c r="H313" s="1"/>
      <c r="I313" s="1"/>
      <c r="J313" s="1"/>
      <c r="K313" s="1"/>
      <c r="L313" s="1"/>
      <c r="M313" s="1"/>
      <c r="N313" s="1"/>
      <c r="O313" s="1"/>
      <c r="P313" s="1"/>
      <c r="Q313" s="1"/>
      <c r="R313" s="1"/>
      <c r="S313" s="1"/>
      <c r="T313" s="1"/>
    </row>
    <row r="314" spans="1:20" ht="13.5">
      <c r="A314" s="1"/>
      <c r="B314" s="1"/>
      <c r="C314" s="1"/>
      <c r="D314" s="1"/>
      <c r="E314" s="1"/>
      <c r="F314" s="1"/>
      <c r="G314" s="1"/>
      <c r="H314" s="1"/>
      <c r="I314" s="1"/>
      <c r="J314" s="1"/>
      <c r="K314" s="1"/>
      <c r="L314" s="1"/>
      <c r="M314" s="1"/>
      <c r="N314" s="1"/>
      <c r="O314" s="1"/>
      <c r="P314" s="1"/>
      <c r="Q314" s="1"/>
      <c r="R314" s="1"/>
      <c r="S314" s="1"/>
      <c r="T314" s="1"/>
    </row>
    <row r="315" spans="1:20" ht="13.5">
      <c r="A315" s="1"/>
      <c r="B315" s="1"/>
      <c r="C315" s="1"/>
      <c r="D315" s="1"/>
      <c r="E315" s="1"/>
      <c r="F315" s="1"/>
      <c r="G315" s="1"/>
      <c r="H315" s="1"/>
      <c r="I315" s="1"/>
      <c r="J315" s="1"/>
      <c r="K315" s="1"/>
      <c r="L315" s="1"/>
      <c r="M315" s="1"/>
      <c r="N315" s="1"/>
      <c r="O315" s="1"/>
      <c r="P315" s="1"/>
      <c r="Q315" s="1"/>
      <c r="R315" s="1"/>
      <c r="S315" s="1"/>
      <c r="T315" s="1"/>
    </row>
    <row r="316" spans="1:20" ht="13.5">
      <c r="A316" s="1"/>
      <c r="B316" s="1"/>
      <c r="C316" s="1"/>
      <c r="D316" s="1"/>
      <c r="E316" s="1"/>
      <c r="F316" s="1"/>
      <c r="G316" s="1"/>
      <c r="H316" s="1"/>
      <c r="I316" s="1"/>
      <c r="J316" s="1"/>
      <c r="K316" s="1"/>
      <c r="L316" s="1"/>
      <c r="M316" s="1"/>
      <c r="N316" s="1"/>
      <c r="O316" s="1"/>
      <c r="P316" s="1"/>
      <c r="Q316" s="1"/>
      <c r="R316" s="1"/>
      <c r="S316" s="1"/>
      <c r="T316" s="1"/>
    </row>
    <row r="317" spans="1:20" ht="13.5">
      <c r="A317" s="1"/>
      <c r="B317" s="1"/>
      <c r="C317" s="1"/>
      <c r="D317" s="1"/>
      <c r="E317" s="1"/>
      <c r="F317" s="1"/>
      <c r="G317" s="1"/>
      <c r="H317" s="1"/>
      <c r="I317" s="1"/>
      <c r="J317" s="1"/>
      <c r="K317" s="1"/>
      <c r="L317" s="1"/>
      <c r="M317" s="1"/>
      <c r="N317" s="1"/>
      <c r="O317" s="1"/>
      <c r="P317" s="1"/>
      <c r="Q317" s="1"/>
      <c r="R317" s="1"/>
      <c r="S317" s="1"/>
      <c r="T317" s="1"/>
    </row>
    <row r="318" spans="1:20" ht="13.5">
      <c r="A318" s="1"/>
      <c r="B318" s="1"/>
      <c r="C318" s="1"/>
      <c r="D318" s="1"/>
      <c r="E318" s="1"/>
      <c r="F318" s="1"/>
      <c r="G318" s="1"/>
      <c r="H318" s="1"/>
      <c r="I318" s="1"/>
      <c r="J318" s="1"/>
      <c r="K318" s="1"/>
      <c r="L318" s="1"/>
      <c r="M318" s="1"/>
      <c r="N318" s="1"/>
      <c r="O318" s="1"/>
      <c r="P318" s="1"/>
      <c r="Q318" s="1"/>
      <c r="R318" s="1"/>
      <c r="S318" s="1"/>
      <c r="T318" s="1"/>
    </row>
    <row r="319" spans="1:20" ht="13.5">
      <c r="A319" s="1"/>
      <c r="B319" s="1"/>
      <c r="C319" s="1"/>
      <c r="D319" s="1"/>
      <c r="E319" s="1"/>
      <c r="F319" s="1"/>
      <c r="G319" s="1"/>
      <c r="H319" s="1"/>
      <c r="I319" s="1"/>
      <c r="J319" s="1"/>
      <c r="K319" s="1"/>
      <c r="L319" s="1"/>
      <c r="M319" s="1"/>
      <c r="N319" s="1"/>
      <c r="O319" s="1"/>
      <c r="P319" s="1"/>
      <c r="Q319" s="1"/>
      <c r="R319" s="1"/>
      <c r="S319" s="1"/>
      <c r="T319" s="1"/>
    </row>
    <row r="320" spans="1:20" ht="13.5">
      <c r="A320" s="1"/>
      <c r="B320" s="1"/>
      <c r="C320" s="1"/>
      <c r="D320" s="1"/>
      <c r="E320" s="1"/>
      <c r="F320" s="1"/>
      <c r="G320" s="1"/>
      <c r="H320" s="1"/>
      <c r="I320" s="1"/>
      <c r="J320" s="1"/>
      <c r="K320" s="1"/>
      <c r="L320" s="1"/>
      <c r="M320" s="1"/>
      <c r="N320" s="1"/>
      <c r="O320" s="1"/>
      <c r="P320" s="1"/>
      <c r="Q320" s="1"/>
      <c r="R320" s="1"/>
      <c r="S320" s="1"/>
      <c r="T320" s="1"/>
    </row>
    <row r="321" spans="1:20" ht="13.5">
      <c r="A321" s="1"/>
      <c r="B321" s="1"/>
      <c r="C321" s="1"/>
      <c r="D321" s="1"/>
      <c r="E321" s="1"/>
      <c r="F321" s="1"/>
      <c r="G321" s="1"/>
      <c r="H321" s="1"/>
      <c r="I321" s="1"/>
      <c r="J321" s="1"/>
      <c r="K321" s="1"/>
      <c r="L321" s="1"/>
      <c r="M321" s="1"/>
      <c r="N321" s="1"/>
      <c r="O321" s="1"/>
      <c r="P321" s="1"/>
      <c r="Q321" s="1"/>
      <c r="R321" s="1"/>
      <c r="S321" s="1"/>
      <c r="T321" s="1"/>
    </row>
    <row r="322" spans="1:20" ht="13.5">
      <c r="A322" s="1"/>
      <c r="B322" s="1"/>
      <c r="C322" s="1"/>
      <c r="D322" s="1"/>
      <c r="E322" s="1"/>
      <c r="F322" s="1"/>
      <c r="G322" s="1"/>
      <c r="H322" s="1"/>
      <c r="I322" s="1"/>
      <c r="J322" s="1"/>
      <c r="K322" s="1"/>
      <c r="L322" s="1"/>
      <c r="M322" s="1"/>
      <c r="N322" s="1"/>
      <c r="O322" s="1"/>
      <c r="P322" s="1"/>
      <c r="Q322" s="1"/>
      <c r="R322" s="1"/>
      <c r="S322" s="1"/>
      <c r="T322" s="1"/>
    </row>
    <row r="323" spans="1:20" ht="13.5">
      <c r="A323" s="1"/>
      <c r="B323" s="1"/>
      <c r="C323" s="1"/>
      <c r="D323" s="1"/>
      <c r="E323" s="1"/>
      <c r="F323" s="1"/>
      <c r="G323" s="1"/>
      <c r="H323" s="1"/>
      <c r="I323" s="1"/>
      <c r="J323" s="1"/>
      <c r="K323" s="1"/>
      <c r="L323" s="1"/>
      <c r="M323" s="1"/>
      <c r="N323" s="1"/>
      <c r="O323" s="1"/>
      <c r="P323" s="1"/>
      <c r="Q323" s="1"/>
      <c r="R323" s="1"/>
      <c r="S323" s="1"/>
      <c r="T323" s="1"/>
    </row>
    <row r="324" spans="1:20" ht="13.5">
      <c r="A324" s="1"/>
      <c r="B324" s="1"/>
      <c r="C324" s="1"/>
      <c r="D324" s="1"/>
      <c r="E324" s="1"/>
      <c r="F324" s="1"/>
      <c r="G324" s="1"/>
      <c r="H324" s="1"/>
      <c r="I324" s="1"/>
      <c r="J324" s="1"/>
      <c r="K324" s="1"/>
      <c r="L324" s="1"/>
      <c r="M324" s="1"/>
      <c r="N324" s="1"/>
      <c r="O324" s="1"/>
      <c r="P324" s="1"/>
      <c r="Q324" s="1"/>
      <c r="R324" s="1"/>
      <c r="S324" s="1"/>
      <c r="T324" s="1"/>
    </row>
    <row r="325" spans="1:20" ht="13.5">
      <c r="A325" s="1"/>
      <c r="B325" s="1"/>
      <c r="C325" s="1"/>
      <c r="D325" s="1"/>
      <c r="E325" s="1"/>
      <c r="F325" s="1"/>
      <c r="G325" s="1"/>
      <c r="H325" s="1"/>
      <c r="I325" s="1"/>
      <c r="J325" s="1"/>
      <c r="K325" s="1"/>
      <c r="L325" s="1"/>
      <c r="M325" s="1"/>
      <c r="N325" s="1"/>
      <c r="O325" s="1"/>
      <c r="P325" s="1"/>
      <c r="Q325" s="1"/>
      <c r="R325" s="1"/>
      <c r="S325" s="1"/>
      <c r="T325" s="1"/>
    </row>
    <row r="326" spans="1:20" ht="13.5">
      <c r="A326" s="1"/>
      <c r="B326" s="1"/>
      <c r="C326" s="1"/>
      <c r="D326" s="1"/>
      <c r="E326" s="1"/>
      <c r="F326" s="1"/>
      <c r="G326" s="1"/>
      <c r="H326" s="1"/>
      <c r="I326" s="1"/>
      <c r="J326" s="1"/>
      <c r="K326" s="1"/>
      <c r="L326" s="1"/>
      <c r="M326" s="1"/>
      <c r="N326" s="1"/>
      <c r="O326" s="1"/>
      <c r="P326" s="1"/>
      <c r="Q326" s="1"/>
      <c r="R326" s="1"/>
      <c r="S326" s="1"/>
      <c r="T326" s="1"/>
    </row>
    <row r="327" spans="1:20" ht="13.5">
      <c r="A327" s="1"/>
      <c r="B327" s="1"/>
      <c r="C327" s="1"/>
      <c r="D327" s="1"/>
      <c r="E327" s="1"/>
      <c r="F327" s="1"/>
      <c r="G327" s="1"/>
      <c r="H327" s="1"/>
      <c r="I327" s="1"/>
      <c r="J327" s="1"/>
      <c r="K327" s="1"/>
      <c r="L327" s="1"/>
      <c r="M327" s="1"/>
      <c r="N327" s="1"/>
      <c r="O327" s="1"/>
      <c r="P327" s="1"/>
      <c r="Q327" s="1"/>
      <c r="R327" s="1"/>
      <c r="S327" s="1"/>
      <c r="T327" s="1"/>
    </row>
    <row r="328" spans="1:20" ht="13.5">
      <c r="A328" s="1"/>
      <c r="B328" s="1"/>
      <c r="C328" s="1"/>
      <c r="D328" s="1"/>
      <c r="E328" s="1"/>
      <c r="F328" s="1"/>
      <c r="G328" s="1"/>
      <c r="H328" s="1"/>
      <c r="I328" s="1"/>
      <c r="J328" s="1"/>
      <c r="K328" s="1"/>
      <c r="L328" s="1"/>
      <c r="M328" s="1"/>
      <c r="N328" s="1"/>
      <c r="O328" s="1"/>
      <c r="P328" s="1"/>
      <c r="Q328" s="1"/>
      <c r="R328" s="1"/>
      <c r="S328" s="1"/>
      <c r="T328" s="1"/>
    </row>
    <row r="329" spans="1:20" ht="13.5">
      <c r="A329" s="1"/>
      <c r="B329" s="1"/>
      <c r="C329" s="1"/>
      <c r="D329" s="1"/>
      <c r="E329" s="1"/>
      <c r="F329" s="1"/>
      <c r="G329" s="1"/>
      <c r="H329" s="1"/>
      <c r="I329" s="1"/>
      <c r="J329" s="1"/>
      <c r="K329" s="1"/>
      <c r="L329" s="1"/>
      <c r="M329" s="1"/>
      <c r="N329" s="1"/>
      <c r="O329" s="1"/>
      <c r="P329" s="1"/>
      <c r="Q329" s="1"/>
      <c r="R329" s="1"/>
      <c r="S329" s="1"/>
      <c r="T329" s="1"/>
    </row>
    <row r="330" spans="1:20" ht="13.5">
      <c r="A330" s="1"/>
      <c r="B330" s="1"/>
      <c r="C330" s="1"/>
      <c r="D330" s="1"/>
      <c r="E330" s="1"/>
      <c r="F330" s="1"/>
      <c r="G330" s="1"/>
      <c r="H330" s="1"/>
      <c r="I330" s="1"/>
      <c r="J330" s="1"/>
      <c r="K330" s="1"/>
      <c r="L330" s="1"/>
      <c r="M330" s="1"/>
      <c r="N330" s="1"/>
      <c r="O330" s="1"/>
      <c r="P330" s="1"/>
      <c r="Q330" s="1"/>
      <c r="R330" s="1"/>
      <c r="S330" s="1"/>
      <c r="T330" s="1"/>
    </row>
    <row r="331" spans="1:20" ht="13.5">
      <c r="A331" s="1"/>
      <c r="B331" s="1"/>
      <c r="C331" s="1"/>
      <c r="D331" s="1"/>
      <c r="E331" s="1"/>
      <c r="F331" s="1"/>
      <c r="G331" s="1"/>
      <c r="H331" s="1"/>
      <c r="I331" s="1"/>
      <c r="J331" s="1"/>
      <c r="K331" s="1"/>
      <c r="L331" s="1"/>
      <c r="M331" s="1"/>
      <c r="N331" s="1"/>
      <c r="O331" s="1"/>
      <c r="P331" s="1"/>
      <c r="Q331" s="1"/>
      <c r="R331" s="1"/>
      <c r="S331" s="1"/>
      <c r="T331" s="1"/>
    </row>
    <row r="332" spans="1:20" ht="13.5">
      <c r="A332" s="1"/>
      <c r="B332" s="1"/>
      <c r="C332" s="1"/>
      <c r="D332" s="1"/>
      <c r="E332" s="1"/>
      <c r="F332" s="1"/>
      <c r="G332" s="1"/>
      <c r="H332" s="1"/>
      <c r="I332" s="1"/>
      <c r="J332" s="1"/>
      <c r="K332" s="1"/>
      <c r="L332" s="1"/>
      <c r="M332" s="1"/>
      <c r="N332" s="1"/>
      <c r="O332" s="1"/>
      <c r="P332" s="1"/>
      <c r="Q332" s="1"/>
      <c r="R332" s="1"/>
      <c r="S332" s="1"/>
      <c r="T332" s="1"/>
    </row>
    <row r="333" spans="1:20" ht="13.5">
      <c r="A333" s="1"/>
      <c r="B333" s="1"/>
      <c r="C333" s="1"/>
      <c r="D333" s="1"/>
      <c r="E333" s="1"/>
      <c r="F333" s="1"/>
      <c r="G333" s="1"/>
      <c r="H333" s="1"/>
      <c r="I333" s="1"/>
      <c r="J333" s="1"/>
      <c r="K333" s="1"/>
      <c r="L333" s="1"/>
      <c r="M333" s="1"/>
      <c r="N333" s="1"/>
      <c r="O333" s="1"/>
      <c r="P333" s="1"/>
      <c r="Q333" s="1"/>
      <c r="R333" s="1"/>
      <c r="S333" s="1"/>
      <c r="T333" s="1"/>
    </row>
    <row r="334" spans="1:20" ht="13.5">
      <c r="A334" s="1"/>
      <c r="B334" s="1"/>
      <c r="C334" s="1"/>
      <c r="D334" s="1"/>
      <c r="E334" s="1"/>
      <c r="F334" s="1"/>
      <c r="G334" s="1"/>
      <c r="H334" s="1"/>
      <c r="I334" s="1"/>
      <c r="J334" s="1"/>
      <c r="K334" s="1"/>
      <c r="L334" s="1"/>
      <c r="M334" s="1"/>
      <c r="N334" s="1"/>
      <c r="O334" s="1"/>
      <c r="P334" s="1"/>
      <c r="Q334" s="1"/>
      <c r="R334" s="1"/>
      <c r="S334" s="1"/>
      <c r="T334" s="1"/>
    </row>
    <row r="335" spans="1:20" ht="13.5">
      <c r="A335" s="1"/>
      <c r="B335" s="1"/>
      <c r="C335" s="1"/>
      <c r="D335" s="1"/>
      <c r="E335" s="1"/>
      <c r="F335" s="1"/>
      <c r="G335" s="1"/>
      <c r="H335" s="1"/>
      <c r="I335" s="1"/>
      <c r="J335" s="1"/>
      <c r="K335" s="1"/>
      <c r="L335" s="1"/>
      <c r="M335" s="1"/>
      <c r="N335" s="1"/>
      <c r="O335" s="1"/>
      <c r="P335" s="1"/>
      <c r="Q335" s="1"/>
      <c r="R335" s="1"/>
      <c r="S335" s="1"/>
      <c r="T335" s="1"/>
    </row>
    <row r="336" spans="1:20" ht="13.5">
      <c r="A336" s="1"/>
      <c r="B336" s="1"/>
      <c r="C336" s="1"/>
      <c r="D336" s="1"/>
      <c r="E336" s="1"/>
      <c r="F336" s="1"/>
      <c r="G336" s="1"/>
      <c r="H336" s="1"/>
      <c r="I336" s="1"/>
      <c r="J336" s="1"/>
      <c r="K336" s="1"/>
      <c r="L336" s="1"/>
      <c r="M336" s="1"/>
      <c r="N336" s="1"/>
      <c r="O336" s="1"/>
      <c r="P336" s="1"/>
      <c r="Q336" s="1"/>
      <c r="R336" s="1"/>
      <c r="S336" s="1"/>
      <c r="T336" s="1"/>
    </row>
    <row r="337" spans="1:20" ht="13.5">
      <c r="A337" s="1"/>
      <c r="B337" s="1"/>
      <c r="C337" s="1"/>
      <c r="D337" s="1"/>
      <c r="E337" s="1"/>
      <c r="F337" s="1"/>
      <c r="G337" s="1"/>
      <c r="H337" s="1"/>
      <c r="I337" s="1"/>
      <c r="J337" s="1"/>
      <c r="K337" s="1"/>
      <c r="L337" s="1"/>
      <c r="M337" s="1"/>
      <c r="N337" s="1"/>
      <c r="O337" s="1"/>
      <c r="P337" s="1"/>
      <c r="Q337" s="1"/>
      <c r="R337" s="1"/>
      <c r="S337" s="1"/>
      <c r="T337" s="1"/>
    </row>
    <row r="338" spans="1:20" ht="13.5">
      <c r="A338" s="1"/>
      <c r="B338" s="1"/>
      <c r="C338" s="1"/>
      <c r="D338" s="1"/>
      <c r="E338" s="1"/>
      <c r="F338" s="1"/>
      <c r="G338" s="1"/>
      <c r="H338" s="1"/>
      <c r="I338" s="1"/>
      <c r="J338" s="1"/>
      <c r="K338" s="1"/>
      <c r="L338" s="1"/>
      <c r="M338" s="1"/>
      <c r="N338" s="1"/>
      <c r="O338" s="1"/>
      <c r="P338" s="1"/>
      <c r="Q338" s="1"/>
      <c r="R338" s="1"/>
      <c r="S338" s="1"/>
      <c r="T338" s="1"/>
    </row>
    <row r="339" spans="1:20" ht="13.5">
      <c r="A339" s="1"/>
      <c r="B339" s="1"/>
      <c r="C339" s="1"/>
      <c r="D339" s="1"/>
      <c r="E339" s="1"/>
      <c r="F339" s="1"/>
      <c r="G339" s="1"/>
      <c r="H339" s="1"/>
      <c r="I339" s="1"/>
      <c r="J339" s="1"/>
      <c r="K339" s="1"/>
      <c r="L339" s="1"/>
      <c r="M339" s="1"/>
      <c r="N339" s="1"/>
      <c r="O339" s="1"/>
      <c r="P339" s="1"/>
      <c r="Q339" s="1"/>
      <c r="R339" s="1"/>
      <c r="S339" s="1"/>
      <c r="T339" s="1"/>
    </row>
    <row r="340" spans="1:20" ht="13.5">
      <c r="A340" s="1"/>
      <c r="B340" s="1"/>
      <c r="C340" s="1"/>
      <c r="D340" s="1"/>
      <c r="E340" s="1"/>
      <c r="F340" s="1"/>
      <c r="G340" s="1"/>
      <c r="H340" s="1"/>
      <c r="I340" s="1"/>
      <c r="J340" s="1"/>
      <c r="K340" s="1"/>
      <c r="L340" s="1"/>
      <c r="M340" s="1"/>
      <c r="N340" s="1"/>
      <c r="O340" s="1"/>
      <c r="P340" s="1"/>
      <c r="Q340" s="1"/>
      <c r="R340" s="1"/>
      <c r="S340" s="1"/>
      <c r="T340" s="1"/>
    </row>
    <row r="341" spans="1:20" ht="13.5">
      <c r="A341" s="1"/>
      <c r="B341" s="1"/>
      <c r="C341" s="1"/>
      <c r="D341" s="1"/>
      <c r="E341" s="1"/>
      <c r="F341" s="1"/>
      <c r="G341" s="1"/>
      <c r="H341" s="1"/>
      <c r="I341" s="1"/>
      <c r="J341" s="1"/>
      <c r="K341" s="1"/>
      <c r="L341" s="1"/>
      <c r="M341" s="1"/>
      <c r="N341" s="1"/>
      <c r="O341" s="1"/>
      <c r="P341" s="1"/>
      <c r="Q341" s="1"/>
      <c r="R341" s="1"/>
      <c r="S341" s="1"/>
      <c r="T341" s="1"/>
    </row>
    <row r="342" spans="1:20" ht="13.5">
      <c r="A342" s="1"/>
      <c r="B342" s="1"/>
      <c r="C342" s="1"/>
      <c r="D342" s="1"/>
      <c r="E342" s="1"/>
      <c r="F342" s="1"/>
      <c r="G342" s="1"/>
      <c r="H342" s="1"/>
      <c r="I342" s="1"/>
      <c r="J342" s="1"/>
      <c r="K342" s="1"/>
      <c r="L342" s="1"/>
      <c r="M342" s="1"/>
      <c r="N342" s="1"/>
      <c r="O342" s="1"/>
      <c r="P342" s="1"/>
      <c r="Q342" s="1"/>
      <c r="R342" s="1"/>
      <c r="S342" s="1"/>
      <c r="T342" s="1"/>
    </row>
    <row r="343" spans="1:20" ht="13.5">
      <c r="A343" s="1"/>
      <c r="B343" s="1"/>
      <c r="C343" s="1"/>
      <c r="D343" s="1"/>
      <c r="E343" s="1"/>
      <c r="F343" s="1"/>
      <c r="G343" s="1"/>
      <c r="H343" s="1"/>
      <c r="I343" s="1"/>
      <c r="J343" s="1"/>
      <c r="K343" s="1"/>
      <c r="L343" s="1"/>
      <c r="M343" s="1"/>
      <c r="N343" s="1"/>
      <c r="O343" s="1"/>
      <c r="P343" s="1"/>
      <c r="Q343" s="1"/>
      <c r="R343" s="1"/>
      <c r="S343" s="1"/>
      <c r="T343" s="1"/>
    </row>
    <row r="344" spans="1:20" ht="13.5">
      <c r="A344" s="1"/>
      <c r="B344" s="1"/>
      <c r="C344" s="1"/>
      <c r="D344" s="1"/>
      <c r="E344" s="1"/>
      <c r="F344" s="1"/>
      <c r="G344" s="1"/>
      <c r="H344" s="1"/>
      <c r="I344" s="1"/>
      <c r="J344" s="1"/>
      <c r="K344" s="1"/>
      <c r="L344" s="1"/>
      <c r="M344" s="1"/>
      <c r="N344" s="1"/>
      <c r="O344" s="1"/>
      <c r="P344" s="1"/>
      <c r="Q344" s="1"/>
      <c r="R344" s="1"/>
      <c r="S344" s="1"/>
      <c r="T344" s="1"/>
    </row>
    <row r="345" spans="1:20" ht="13.5">
      <c r="A345" s="1"/>
      <c r="B345" s="1"/>
      <c r="C345" s="1"/>
      <c r="D345" s="1"/>
      <c r="E345" s="1"/>
      <c r="F345" s="1"/>
      <c r="G345" s="1"/>
      <c r="H345" s="1"/>
      <c r="I345" s="1"/>
      <c r="J345" s="1"/>
      <c r="K345" s="1"/>
      <c r="L345" s="1"/>
      <c r="M345" s="1"/>
      <c r="N345" s="1"/>
      <c r="O345" s="1"/>
      <c r="P345" s="1"/>
      <c r="Q345" s="1"/>
      <c r="R345" s="1"/>
      <c r="S345" s="1"/>
      <c r="T345" s="1"/>
    </row>
    <row r="346" spans="1:20" ht="13.5">
      <c r="A346" s="1"/>
      <c r="B346" s="1"/>
      <c r="C346" s="1"/>
      <c r="D346" s="1"/>
      <c r="E346" s="1"/>
      <c r="F346" s="1"/>
      <c r="G346" s="1"/>
      <c r="H346" s="1"/>
      <c r="I346" s="1"/>
      <c r="J346" s="1"/>
      <c r="K346" s="1"/>
      <c r="L346" s="1"/>
      <c r="M346" s="1"/>
      <c r="N346" s="1"/>
      <c r="O346" s="1"/>
      <c r="P346" s="1"/>
      <c r="Q346" s="1"/>
      <c r="R346" s="1"/>
      <c r="S346" s="1"/>
      <c r="T346" s="1"/>
    </row>
    <row r="347" spans="1:20" ht="13.5">
      <c r="A347" s="1"/>
      <c r="B347" s="1"/>
      <c r="C347" s="1"/>
      <c r="D347" s="1"/>
      <c r="E347" s="1"/>
      <c r="F347" s="1"/>
      <c r="G347" s="1"/>
      <c r="H347" s="1"/>
      <c r="I347" s="1"/>
      <c r="J347" s="1"/>
      <c r="K347" s="1"/>
      <c r="L347" s="1"/>
      <c r="M347" s="1"/>
      <c r="N347" s="1"/>
      <c r="O347" s="1"/>
      <c r="P347" s="1"/>
      <c r="Q347" s="1"/>
      <c r="R347" s="1"/>
      <c r="S347" s="1"/>
      <c r="T347" s="1"/>
    </row>
    <row r="348" spans="1:20" ht="13.5">
      <c r="A348" s="1"/>
      <c r="B348" s="1"/>
      <c r="C348" s="1"/>
      <c r="D348" s="1"/>
      <c r="E348" s="1"/>
      <c r="F348" s="1"/>
      <c r="G348" s="1"/>
      <c r="H348" s="1"/>
      <c r="I348" s="1"/>
      <c r="J348" s="1"/>
      <c r="K348" s="1"/>
      <c r="L348" s="1"/>
      <c r="M348" s="1"/>
      <c r="N348" s="1"/>
      <c r="O348" s="1"/>
      <c r="P348" s="1"/>
      <c r="Q348" s="1"/>
      <c r="R348" s="1"/>
      <c r="S348" s="1"/>
      <c r="T348" s="1"/>
    </row>
    <row r="349" spans="1:20" ht="13.5">
      <c r="A349" s="1"/>
      <c r="B349" s="1"/>
      <c r="C349" s="1"/>
      <c r="D349" s="1"/>
      <c r="E349" s="1"/>
      <c r="F349" s="1"/>
      <c r="G349" s="1"/>
      <c r="H349" s="1"/>
      <c r="I349" s="1"/>
      <c r="J349" s="1"/>
      <c r="K349" s="1"/>
      <c r="L349" s="1"/>
      <c r="M349" s="1"/>
      <c r="N349" s="1"/>
      <c r="O349" s="1"/>
      <c r="P349" s="1"/>
      <c r="Q349" s="1"/>
      <c r="R349" s="1"/>
      <c r="S349" s="1"/>
      <c r="T349" s="1"/>
    </row>
    <row r="350" spans="1:20" ht="13.5">
      <c r="A350" s="1"/>
      <c r="B350" s="1"/>
      <c r="C350" s="1"/>
      <c r="D350" s="1"/>
      <c r="E350" s="1"/>
      <c r="F350" s="1"/>
      <c r="G350" s="1"/>
      <c r="H350" s="1"/>
      <c r="I350" s="1"/>
      <c r="J350" s="1"/>
      <c r="K350" s="1"/>
      <c r="L350" s="1"/>
      <c r="M350" s="1"/>
      <c r="N350" s="1"/>
      <c r="O350" s="1"/>
      <c r="P350" s="1"/>
      <c r="Q350" s="1"/>
      <c r="R350" s="1"/>
      <c r="S350" s="1"/>
      <c r="T350" s="1"/>
    </row>
    <row r="351" spans="1:20" ht="13.5">
      <c r="A351" s="1"/>
      <c r="B351" s="1"/>
      <c r="C351" s="1"/>
      <c r="D351" s="1"/>
      <c r="E351" s="1"/>
      <c r="F351" s="1"/>
      <c r="G351" s="1"/>
      <c r="H351" s="1"/>
      <c r="I351" s="1"/>
      <c r="J351" s="1"/>
      <c r="K351" s="1"/>
      <c r="L351" s="1"/>
      <c r="M351" s="1"/>
      <c r="N351" s="1"/>
      <c r="O351" s="1"/>
      <c r="P351" s="1"/>
      <c r="Q351" s="1"/>
      <c r="R351" s="1"/>
      <c r="S351" s="1"/>
      <c r="T351" s="1"/>
    </row>
    <row r="352" spans="1:20" ht="13.5">
      <c r="A352" s="1"/>
      <c r="B352" s="1"/>
      <c r="C352" s="1"/>
      <c r="D352" s="1"/>
      <c r="E352" s="1"/>
      <c r="F352" s="1"/>
      <c r="G352" s="1"/>
      <c r="H352" s="1"/>
      <c r="I352" s="1"/>
      <c r="J352" s="1"/>
      <c r="K352" s="1"/>
      <c r="L352" s="1"/>
      <c r="M352" s="1"/>
      <c r="N352" s="1"/>
      <c r="O352" s="1"/>
      <c r="P352" s="1"/>
      <c r="Q352" s="1"/>
      <c r="R352" s="1"/>
      <c r="S352" s="1"/>
      <c r="T352" s="1"/>
    </row>
    <row r="353" spans="1:20" ht="13.5">
      <c r="A353" s="1"/>
      <c r="B353" s="1"/>
      <c r="C353" s="1"/>
      <c r="D353" s="1"/>
      <c r="E353" s="1"/>
      <c r="F353" s="1"/>
      <c r="G353" s="1"/>
      <c r="H353" s="1"/>
      <c r="I353" s="1"/>
      <c r="J353" s="1"/>
      <c r="K353" s="1"/>
      <c r="L353" s="1"/>
      <c r="M353" s="1"/>
      <c r="N353" s="1"/>
      <c r="O353" s="1"/>
      <c r="P353" s="1"/>
      <c r="Q353" s="1"/>
      <c r="R353" s="1"/>
      <c r="S353" s="1"/>
      <c r="T353" s="1"/>
    </row>
    <row r="354" spans="1:20" ht="13.5">
      <c r="A354" s="1"/>
      <c r="B354" s="1"/>
      <c r="C354" s="1"/>
      <c r="D354" s="1"/>
      <c r="E354" s="1"/>
      <c r="F354" s="1"/>
      <c r="G354" s="1"/>
      <c r="H354" s="1"/>
      <c r="I354" s="1"/>
      <c r="J354" s="1"/>
      <c r="K354" s="1"/>
      <c r="L354" s="1"/>
      <c r="M354" s="1"/>
      <c r="N354" s="1"/>
      <c r="O354" s="1"/>
      <c r="P354" s="1"/>
      <c r="Q354" s="1"/>
      <c r="R354" s="1"/>
      <c r="S354" s="1"/>
      <c r="T354" s="1"/>
    </row>
    <row r="355" spans="1:20" ht="13.5">
      <c r="A355" s="1"/>
      <c r="B355" s="1"/>
      <c r="C355" s="1"/>
      <c r="D355" s="1"/>
      <c r="E355" s="1"/>
      <c r="F355" s="1"/>
      <c r="G355" s="1"/>
      <c r="H355" s="1"/>
      <c r="I355" s="1"/>
      <c r="J355" s="1"/>
      <c r="K355" s="1"/>
      <c r="L355" s="1"/>
      <c r="M355" s="1"/>
      <c r="N355" s="1"/>
      <c r="O355" s="1"/>
      <c r="P355" s="1"/>
      <c r="Q355" s="1"/>
      <c r="R355" s="1"/>
      <c r="S355" s="1"/>
      <c r="T355" s="1"/>
    </row>
    <row r="356" spans="1:20" ht="13.5">
      <c r="A356" s="1"/>
      <c r="B356" s="1"/>
      <c r="C356" s="1"/>
      <c r="D356" s="1"/>
      <c r="E356" s="1"/>
      <c r="F356" s="1"/>
      <c r="G356" s="1"/>
      <c r="H356" s="1"/>
      <c r="I356" s="1"/>
      <c r="J356" s="1"/>
      <c r="K356" s="1"/>
      <c r="L356" s="1"/>
      <c r="M356" s="1"/>
      <c r="N356" s="1"/>
      <c r="O356" s="1"/>
      <c r="P356" s="1"/>
      <c r="Q356" s="1"/>
      <c r="R356" s="1"/>
      <c r="S356" s="1"/>
      <c r="T356" s="1"/>
    </row>
    <row r="357" spans="1:20" ht="13.5">
      <c r="A357" s="1"/>
      <c r="B357" s="1"/>
      <c r="C357" s="1"/>
      <c r="D357" s="1"/>
      <c r="E357" s="1"/>
      <c r="F357" s="1"/>
      <c r="G357" s="1"/>
      <c r="H357" s="1"/>
      <c r="I357" s="1"/>
      <c r="J357" s="1"/>
      <c r="K357" s="1"/>
      <c r="L357" s="1"/>
      <c r="M357" s="1"/>
      <c r="N357" s="1"/>
      <c r="O357" s="1"/>
      <c r="P357" s="1"/>
      <c r="Q357" s="1"/>
      <c r="R357" s="1"/>
      <c r="S357" s="1"/>
      <c r="T357" s="1"/>
    </row>
    <row r="358" spans="1:20" ht="13.5">
      <c r="A358" s="1"/>
      <c r="B358" s="1"/>
      <c r="C358" s="1"/>
      <c r="D358" s="1"/>
      <c r="E358" s="1"/>
      <c r="F358" s="1"/>
      <c r="G358" s="1"/>
      <c r="H358" s="1"/>
      <c r="I358" s="1"/>
      <c r="J358" s="1"/>
      <c r="K358" s="1"/>
      <c r="L358" s="1"/>
      <c r="M358" s="1"/>
      <c r="N358" s="1"/>
      <c r="O358" s="1"/>
      <c r="P358" s="1"/>
      <c r="Q358" s="1"/>
      <c r="R358" s="1"/>
      <c r="S358" s="1"/>
      <c r="T358" s="1"/>
    </row>
    <row r="359" spans="1:20" ht="13.5">
      <c r="A359" s="1"/>
      <c r="B359" s="1"/>
      <c r="C359" s="1"/>
      <c r="D359" s="1"/>
      <c r="E359" s="1"/>
      <c r="F359" s="1"/>
      <c r="G359" s="1"/>
      <c r="H359" s="1"/>
      <c r="I359" s="1"/>
      <c r="J359" s="1"/>
      <c r="K359" s="1"/>
      <c r="L359" s="1"/>
      <c r="M359" s="1"/>
      <c r="N359" s="1"/>
      <c r="O359" s="1"/>
      <c r="P359" s="1"/>
      <c r="Q359" s="1"/>
      <c r="R359" s="1"/>
      <c r="S359" s="1"/>
      <c r="T359" s="1"/>
    </row>
    <row r="360" spans="1:20" ht="13.5">
      <c r="A360" s="1"/>
      <c r="B360" s="1"/>
      <c r="C360" s="1"/>
      <c r="D360" s="1"/>
      <c r="E360" s="1"/>
      <c r="F360" s="1"/>
      <c r="G360" s="1"/>
      <c r="H360" s="1"/>
      <c r="I360" s="1"/>
      <c r="J360" s="1"/>
      <c r="K360" s="1"/>
      <c r="L360" s="1"/>
      <c r="M360" s="1"/>
      <c r="N360" s="1"/>
      <c r="O360" s="1"/>
      <c r="P360" s="1"/>
      <c r="Q360" s="1"/>
      <c r="R360" s="1"/>
      <c r="S360" s="1"/>
      <c r="T360" s="1"/>
    </row>
    <row r="361" spans="1:20" ht="13.5">
      <c r="A361" s="1"/>
      <c r="B361" s="1"/>
      <c r="C361" s="1"/>
      <c r="D361" s="1"/>
      <c r="E361" s="1"/>
      <c r="F361" s="1"/>
      <c r="G361" s="1"/>
      <c r="H361" s="1"/>
      <c r="I361" s="1"/>
      <c r="J361" s="1"/>
      <c r="K361" s="1"/>
      <c r="L361" s="1"/>
      <c r="M361" s="1"/>
      <c r="N361" s="1"/>
      <c r="O361" s="1"/>
      <c r="P361" s="1"/>
      <c r="Q361" s="1"/>
      <c r="R361" s="1"/>
      <c r="S361" s="1"/>
      <c r="T361" s="1"/>
    </row>
    <row r="362" spans="1:20" ht="13.5">
      <c r="A362" s="1"/>
      <c r="B362" s="1"/>
      <c r="C362" s="1"/>
      <c r="D362" s="1"/>
      <c r="E362" s="1"/>
      <c r="F362" s="1"/>
      <c r="G362" s="1"/>
      <c r="H362" s="1"/>
      <c r="I362" s="1"/>
      <c r="J362" s="1"/>
      <c r="K362" s="1"/>
      <c r="L362" s="1"/>
      <c r="M362" s="1"/>
      <c r="N362" s="1"/>
      <c r="O362" s="1"/>
      <c r="P362" s="1"/>
      <c r="Q362" s="1"/>
      <c r="R362" s="1"/>
      <c r="S362" s="1"/>
      <c r="T362" s="1"/>
    </row>
    <row r="363" spans="1:20" ht="13.5">
      <c r="A363" s="1"/>
      <c r="B363" s="1"/>
      <c r="C363" s="1"/>
      <c r="D363" s="1"/>
      <c r="E363" s="1"/>
      <c r="F363" s="1"/>
      <c r="G363" s="1"/>
      <c r="H363" s="1"/>
      <c r="I363" s="1"/>
      <c r="J363" s="1"/>
      <c r="K363" s="1"/>
      <c r="L363" s="1"/>
      <c r="M363" s="1"/>
      <c r="N363" s="1"/>
      <c r="O363" s="1"/>
      <c r="P363" s="1"/>
      <c r="Q363" s="1"/>
      <c r="R363" s="1"/>
      <c r="S363" s="1"/>
      <c r="T363" s="1"/>
    </row>
    <row r="364" spans="1:20" ht="13.5">
      <c r="A364" s="1"/>
      <c r="B364" s="1"/>
      <c r="C364" s="1"/>
      <c r="D364" s="1"/>
      <c r="E364" s="1"/>
      <c r="F364" s="1"/>
      <c r="G364" s="1"/>
      <c r="H364" s="1"/>
      <c r="I364" s="1"/>
      <c r="J364" s="1"/>
      <c r="K364" s="1"/>
      <c r="L364" s="1"/>
      <c r="M364" s="1"/>
      <c r="N364" s="1"/>
      <c r="O364" s="1"/>
      <c r="P364" s="1"/>
      <c r="Q364" s="1"/>
      <c r="R364" s="1"/>
      <c r="S364" s="1"/>
      <c r="T364" s="1"/>
    </row>
    <row r="365" spans="1:20" ht="13.5">
      <c r="A365" s="1"/>
      <c r="B365" s="1"/>
      <c r="C365" s="1"/>
      <c r="D365" s="1"/>
      <c r="E365" s="1"/>
      <c r="F365" s="1"/>
      <c r="G365" s="1"/>
      <c r="H365" s="1"/>
      <c r="I365" s="1"/>
      <c r="J365" s="1"/>
      <c r="K365" s="1"/>
      <c r="L365" s="1"/>
      <c r="M365" s="1"/>
      <c r="N365" s="1"/>
      <c r="O365" s="1"/>
      <c r="P365" s="1"/>
      <c r="Q365" s="1"/>
      <c r="R365" s="1"/>
      <c r="S365" s="1"/>
      <c r="T365" s="1"/>
    </row>
    <row r="366" spans="1:20" ht="13.5">
      <c r="A366" s="1"/>
      <c r="B366" s="1"/>
      <c r="C366" s="1"/>
      <c r="D366" s="1"/>
      <c r="E366" s="1"/>
      <c r="F366" s="1"/>
      <c r="G366" s="1"/>
      <c r="H366" s="1"/>
      <c r="I366" s="1"/>
      <c r="J366" s="1"/>
      <c r="K366" s="1"/>
      <c r="L366" s="1"/>
      <c r="M366" s="1"/>
      <c r="N366" s="1"/>
      <c r="O366" s="1"/>
      <c r="P366" s="1"/>
      <c r="Q366" s="1"/>
      <c r="R366" s="1"/>
      <c r="S366" s="1"/>
      <c r="T366" s="1"/>
    </row>
    <row r="367" spans="1:20" ht="13.5">
      <c r="A367" s="1"/>
      <c r="B367" s="1"/>
      <c r="C367" s="1"/>
      <c r="D367" s="1"/>
      <c r="E367" s="1"/>
      <c r="F367" s="1"/>
      <c r="G367" s="1"/>
      <c r="H367" s="1"/>
      <c r="I367" s="1"/>
      <c r="J367" s="1"/>
      <c r="K367" s="1"/>
      <c r="L367" s="1"/>
      <c r="M367" s="1"/>
      <c r="N367" s="1"/>
      <c r="O367" s="1"/>
      <c r="P367" s="1"/>
      <c r="Q367" s="1"/>
      <c r="R367" s="1"/>
      <c r="S367" s="1"/>
      <c r="T367" s="1"/>
    </row>
    <row r="368" spans="1:20" ht="13.5">
      <c r="A368" s="1"/>
      <c r="B368" s="1"/>
      <c r="C368" s="1"/>
      <c r="D368" s="1"/>
      <c r="E368" s="1"/>
      <c r="F368" s="1"/>
      <c r="G368" s="1"/>
      <c r="H368" s="1"/>
      <c r="I368" s="1"/>
      <c r="J368" s="1"/>
      <c r="K368" s="1"/>
      <c r="L368" s="1"/>
      <c r="M368" s="1"/>
      <c r="N368" s="1"/>
      <c r="O368" s="1"/>
      <c r="P368" s="1"/>
      <c r="Q368" s="1"/>
      <c r="R368" s="1"/>
      <c r="S368" s="1"/>
      <c r="T368" s="1"/>
    </row>
    <row r="369" spans="1:20" ht="13.5">
      <c r="A369" s="1"/>
      <c r="B369" s="1"/>
      <c r="C369" s="1"/>
      <c r="D369" s="1"/>
      <c r="E369" s="1"/>
      <c r="F369" s="1"/>
      <c r="G369" s="1"/>
      <c r="H369" s="1"/>
      <c r="I369" s="1"/>
      <c r="J369" s="1"/>
      <c r="K369" s="1"/>
      <c r="L369" s="1"/>
      <c r="M369" s="1"/>
      <c r="N369" s="1"/>
      <c r="O369" s="1"/>
      <c r="P369" s="1"/>
      <c r="Q369" s="1"/>
      <c r="R369" s="1"/>
      <c r="S369" s="1"/>
      <c r="T369" s="1"/>
    </row>
    <row r="370" spans="1:20" ht="13.5">
      <c r="A370" s="1"/>
      <c r="B370" s="1"/>
      <c r="C370" s="1"/>
      <c r="D370" s="1"/>
      <c r="E370" s="1"/>
      <c r="F370" s="1"/>
      <c r="G370" s="1"/>
      <c r="H370" s="1"/>
      <c r="I370" s="1"/>
      <c r="J370" s="1"/>
      <c r="K370" s="1"/>
      <c r="L370" s="1"/>
      <c r="M370" s="1"/>
      <c r="N370" s="1"/>
      <c r="O370" s="1"/>
      <c r="P370" s="1"/>
      <c r="Q370" s="1"/>
      <c r="R370" s="1"/>
      <c r="S370" s="1"/>
      <c r="T370" s="1"/>
    </row>
    <row r="371" spans="1:20" ht="13.5">
      <c r="A371" s="1"/>
      <c r="B371" s="1"/>
      <c r="C371" s="1"/>
      <c r="D371" s="1"/>
      <c r="E371" s="1"/>
      <c r="F371" s="1"/>
      <c r="G371" s="1"/>
      <c r="H371" s="1"/>
      <c r="I371" s="1"/>
      <c r="J371" s="1"/>
      <c r="K371" s="1"/>
      <c r="L371" s="1"/>
      <c r="M371" s="1"/>
      <c r="N371" s="1"/>
      <c r="O371" s="1"/>
      <c r="P371" s="1"/>
      <c r="Q371" s="1"/>
      <c r="R371" s="1"/>
      <c r="S371" s="1"/>
      <c r="T371" s="1"/>
    </row>
    <row r="372" spans="1:20" ht="13.5">
      <c r="A372" s="1"/>
      <c r="B372" s="1"/>
      <c r="C372" s="1"/>
      <c r="D372" s="1"/>
      <c r="E372" s="1"/>
      <c r="F372" s="1"/>
      <c r="G372" s="1"/>
      <c r="H372" s="1"/>
      <c r="I372" s="1"/>
      <c r="J372" s="1"/>
      <c r="K372" s="1"/>
      <c r="L372" s="1"/>
      <c r="M372" s="1"/>
      <c r="N372" s="1"/>
      <c r="O372" s="1"/>
      <c r="P372" s="1"/>
      <c r="Q372" s="1"/>
      <c r="R372" s="1"/>
      <c r="S372" s="1"/>
      <c r="T372" s="1"/>
    </row>
    <row r="373" spans="1:20" ht="13.5">
      <c r="A373" s="1"/>
      <c r="B373" s="1"/>
      <c r="C373" s="1"/>
      <c r="D373" s="1"/>
      <c r="E373" s="1"/>
      <c r="F373" s="1"/>
      <c r="G373" s="1"/>
      <c r="H373" s="1"/>
      <c r="I373" s="1"/>
      <c r="J373" s="1"/>
      <c r="K373" s="1"/>
      <c r="L373" s="1"/>
      <c r="M373" s="1"/>
      <c r="N373" s="1"/>
      <c r="O373" s="1"/>
      <c r="P373" s="1"/>
      <c r="Q373" s="1"/>
      <c r="R373" s="1"/>
      <c r="S373" s="1"/>
      <c r="T373" s="1"/>
    </row>
    <row r="374" spans="1:20" ht="13.5">
      <c r="A374" s="1"/>
      <c r="B374" s="1"/>
      <c r="C374" s="1"/>
      <c r="D374" s="1"/>
      <c r="E374" s="1"/>
      <c r="F374" s="1"/>
      <c r="G374" s="1"/>
      <c r="H374" s="1"/>
      <c r="I374" s="1"/>
      <c r="J374" s="1"/>
      <c r="K374" s="1"/>
      <c r="L374" s="1"/>
      <c r="M374" s="1"/>
      <c r="N374" s="1"/>
      <c r="O374" s="1"/>
      <c r="P374" s="1"/>
      <c r="Q374" s="1"/>
      <c r="R374" s="1"/>
      <c r="S374" s="1"/>
      <c r="T374" s="1"/>
    </row>
    <row r="375" spans="1:20" ht="13.5">
      <c r="A375" s="1"/>
      <c r="B375" s="1"/>
      <c r="C375" s="1"/>
      <c r="D375" s="1"/>
      <c r="E375" s="1"/>
      <c r="F375" s="1"/>
      <c r="G375" s="1"/>
      <c r="H375" s="1"/>
      <c r="I375" s="1"/>
      <c r="J375" s="1"/>
      <c r="K375" s="1"/>
      <c r="L375" s="1"/>
      <c r="M375" s="1"/>
      <c r="N375" s="1"/>
      <c r="O375" s="1"/>
      <c r="P375" s="1"/>
      <c r="Q375" s="1"/>
      <c r="R375" s="1"/>
      <c r="S375" s="1"/>
      <c r="T375" s="1"/>
    </row>
    <row r="376" spans="1:20" ht="13.5">
      <c r="A376" s="1"/>
      <c r="B376" s="1"/>
      <c r="C376" s="1"/>
      <c r="D376" s="1"/>
      <c r="E376" s="1"/>
      <c r="F376" s="1"/>
      <c r="G376" s="1"/>
      <c r="H376" s="1"/>
      <c r="I376" s="1"/>
      <c r="J376" s="1"/>
      <c r="K376" s="1"/>
      <c r="L376" s="1"/>
      <c r="M376" s="1"/>
      <c r="N376" s="1"/>
      <c r="O376" s="1"/>
      <c r="P376" s="1"/>
      <c r="Q376" s="1"/>
      <c r="R376" s="1"/>
      <c r="S376" s="1"/>
      <c r="T376" s="1"/>
    </row>
    <row r="377" spans="1:20" ht="13.5">
      <c r="A377" s="1"/>
      <c r="B377" s="1"/>
      <c r="C377" s="1"/>
      <c r="D377" s="1"/>
      <c r="E377" s="1"/>
      <c r="F377" s="1"/>
      <c r="G377" s="1"/>
      <c r="H377" s="1"/>
      <c r="I377" s="1"/>
      <c r="J377" s="1"/>
      <c r="K377" s="1"/>
      <c r="L377" s="1"/>
      <c r="M377" s="1"/>
      <c r="N377" s="1"/>
      <c r="O377" s="1"/>
      <c r="P377" s="1"/>
      <c r="Q377" s="1"/>
      <c r="R377" s="1"/>
      <c r="S377" s="1"/>
      <c r="T377" s="1"/>
    </row>
    <row r="378" spans="1:20" ht="13.5">
      <c r="A378" s="1"/>
      <c r="B378" s="1"/>
      <c r="C378" s="1"/>
      <c r="D378" s="1"/>
      <c r="E378" s="1"/>
      <c r="F378" s="1"/>
      <c r="G378" s="1"/>
      <c r="H378" s="1"/>
      <c r="I378" s="1"/>
      <c r="J378" s="1"/>
      <c r="K378" s="1"/>
      <c r="L378" s="1"/>
      <c r="M378" s="1"/>
      <c r="N378" s="1"/>
      <c r="O378" s="1"/>
      <c r="P378" s="1"/>
      <c r="Q378" s="1"/>
      <c r="R378" s="1"/>
      <c r="S378" s="1"/>
      <c r="T378" s="1"/>
    </row>
    <row r="379" spans="1:20" ht="13.5">
      <c r="A379" s="1"/>
      <c r="B379" s="1"/>
      <c r="C379" s="1"/>
      <c r="D379" s="1"/>
      <c r="E379" s="1"/>
      <c r="F379" s="1"/>
      <c r="G379" s="1"/>
      <c r="H379" s="1"/>
      <c r="I379" s="1"/>
      <c r="J379" s="1"/>
      <c r="K379" s="1"/>
      <c r="L379" s="1"/>
      <c r="M379" s="1"/>
      <c r="N379" s="1"/>
      <c r="O379" s="1"/>
      <c r="P379" s="1"/>
      <c r="Q379" s="1"/>
      <c r="R379" s="1"/>
      <c r="S379" s="1"/>
      <c r="T379" s="1"/>
    </row>
    <row r="380" spans="1:20" ht="13.5">
      <c r="A380" s="1"/>
      <c r="B380" s="1"/>
      <c r="C380" s="1"/>
      <c r="D380" s="1"/>
      <c r="E380" s="1"/>
      <c r="F380" s="1"/>
      <c r="G380" s="1"/>
      <c r="H380" s="1"/>
      <c r="I380" s="1"/>
      <c r="J380" s="1"/>
      <c r="K380" s="1"/>
      <c r="L380" s="1"/>
      <c r="M380" s="1"/>
      <c r="N380" s="1"/>
      <c r="O380" s="1"/>
      <c r="P380" s="1"/>
      <c r="Q380" s="1"/>
      <c r="R380" s="1"/>
      <c r="S380" s="1"/>
      <c r="T380" s="1"/>
    </row>
    <row r="381" spans="1:20" ht="13.5">
      <c r="A381" s="1"/>
      <c r="B381" s="1"/>
      <c r="C381" s="1"/>
      <c r="D381" s="1"/>
      <c r="E381" s="1"/>
      <c r="F381" s="1"/>
      <c r="G381" s="1"/>
      <c r="H381" s="1"/>
      <c r="I381" s="1"/>
      <c r="J381" s="1"/>
      <c r="K381" s="1"/>
      <c r="L381" s="1"/>
      <c r="M381" s="1"/>
      <c r="N381" s="1"/>
      <c r="O381" s="1"/>
      <c r="P381" s="1"/>
      <c r="Q381" s="1"/>
      <c r="R381" s="1"/>
      <c r="S381" s="1"/>
      <c r="T381" s="1"/>
    </row>
    <row r="382" spans="1:20" ht="13.5">
      <c r="A382" s="1"/>
      <c r="B382" s="1"/>
      <c r="C382" s="1"/>
      <c r="D382" s="1"/>
      <c r="E382" s="1"/>
      <c r="F382" s="1"/>
      <c r="G382" s="1"/>
      <c r="H382" s="1"/>
      <c r="I382" s="1"/>
      <c r="J382" s="1"/>
      <c r="K382" s="1"/>
      <c r="L382" s="1"/>
      <c r="M382" s="1"/>
      <c r="N382" s="1"/>
      <c r="O382" s="1"/>
      <c r="P382" s="1"/>
      <c r="Q382" s="1"/>
      <c r="R382" s="1"/>
      <c r="S382" s="1"/>
      <c r="T382" s="1"/>
    </row>
    <row r="383" spans="1:20" ht="13.5">
      <c r="A383" s="1"/>
      <c r="B383" s="1"/>
      <c r="C383" s="1"/>
      <c r="D383" s="1"/>
      <c r="E383" s="1"/>
      <c r="F383" s="1"/>
      <c r="G383" s="1"/>
      <c r="H383" s="1"/>
      <c r="I383" s="1"/>
      <c r="J383" s="1"/>
      <c r="K383" s="1"/>
      <c r="L383" s="1"/>
      <c r="M383" s="1"/>
      <c r="N383" s="1"/>
      <c r="O383" s="1"/>
      <c r="P383" s="1"/>
      <c r="Q383" s="1"/>
      <c r="R383" s="1"/>
      <c r="S383" s="1"/>
      <c r="T383" s="1"/>
    </row>
    <row r="384" spans="1:20" ht="13.5">
      <c r="A384" s="1"/>
      <c r="B384" s="1"/>
      <c r="C384" s="1"/>
      <c r="D384" s="1"/>
      <c r="E384" s="1"/>
      <c r="F384" s="1"/>
      <c r="G384" s="1"/>
      <c r="H384" s="1"/>
      <c r="I384" s="1"/>
      <c r="J384" s="1"/>
      <c r="K384" s="1"/>
      <c r="L384" s="1"/>
      <c r="M384" s="1"/>
      <c r="N384" s="1"/>
      <c r="O384" s="1"/>
      <c r="P384" s="1"/>
      <c r="Q384" s="1"/>
      <c r="R384" s="1"/>
      <c r="S384" s="1"/>
      <c r="T384" s="1"/>
    </row>
    <row r="385" spans="1:20" ht="13.5">
      <c r="A385" s="1"/>
      <c r="B385" s="1"/>
      <c r="C385" s="1"/>
      <c r="D385" s="1"/>
      <c r="E385" s="1"/>
      <c r="F385" s="1"/>
      <c r="G385" s="1"/>
      <c r="H385" s="1"/>
      <c r="I385" s="1"/>
      <c r="J385" s="1"/>
      <c r="K385" s="1"/>
      <c r="L385" s="1"/>
      <c r="M385" s="1"/>
      <c r="N385" s="1"/>
      <c r="O385" s="1"/>
      <c r="P385" s="1"/>
      <c r="Q385" s="1"/>
      <c r="R385" s="1"/>
      <c r="S385" s="1"/>
      <c r="T385" s="1"/>
    </row>
    <row r="386" spans="1:20" ht="13.5">
      <c r="A386" s="1"/>
      <c r="B386" s="1"/>
      <c r="C386" s="1"/>
      <c r="D386" s="1"/>
      <c r="E386" s="1"/>
      <c r="F386" s="1"/>
      <c r="G386" s="1"/>
      <c r="H386" s="1"/>
      <c r="I386" s="1"/>
      <c r="J386" s="1"/>
      <c r="K386" s="1"/>
      <c r="L386" s="1"/>
      <c r="M386" s="1"/>
      <c r="N386" s="1"/>
      <c r="O386" s="1"/>
      <c r="P386" s="1"/>
      <c r="Q386" s="1"/>
      <c r="R386" s="1"/>
      <c r="S386" s="1"/>
      <c r="T386" s="1"/>
    </row>
    <row r="387" spans="1:20" ht="13.5">
      <c r="A387" s="1"/>
      <c r="B387" s="1"/>
      <c r="C387" s="1"/>
      <c r="D387" s="1"/>
      <c r="E387" s="1"/>
      <c r="F387" s="1"/>
      <c r="G387" s="1"/>
      <c r="H387" s="1"/>
      <c r="I387" s="1"/>
      <c r="J387" s="1"/>
      <c r="K387" s="1"/>
      <c r="L387" s="1"/>
      <c r="M387" s="1"/>
      <c r="N387" s="1"/>
      <c r="O387" s="1"/>
      <c r="P387" s="1"/>
      <c r="Q387" s="1"/>
      <c r="R387" s="1"/>
      <c r="S387" s="1"/>
      <c r="T387" s="1"/>
    </row>
    <row r="388" spans="1:20" ht="13.5">
      <c r="A388" s="1"/>
      <c r="B388" s="1"/>
      <c r="C388" s="1"/>
      <c r="D388" s="1"/>
      <c r="E388" s="1"/>
      <c r="F388" s="1"/>
      <c r="G388" s="1"/>
      <c r="H388" s="1"/>
      <c r="I388" s="1"/>
      <c r="J388" s="1"/>
      <c r="K388" s="1"/>
      <c r="L388" s="1"/>
      <c r="M388" s="1"/>
      <c r="N388" s="1"/>
      <c r="O388" s="1"/>
      <c r="P388" s="1"/>
      <c r="Q388" s="1"/>
      <c r="R388" s="1"/>
      <c r="S388" s="1"/>
      <c r="T388" s="1"/>
    </row>
    <row r="389" spans="1:20" ht="13.5">
      <c r="A389" s="1"/>
      <c r="B389" s="1"/>
      <c r="C389" s="1"/>
      <c r="D389" s="1"/>
      <c r="E389" s="1"/>
      <c r="F389" s="1"/>
      <c r="G389" s="1"/>
      <c r="H389" s="1"/>
      <c r="I389" s="1"/>
      <c r="J389" s="1"/>
      <c r="K389" s="1"/>
      <c r="L389" s="1"/>
      <c r="M389" s="1"/>
      <c r="N389" s="1"/>
      <c r="O389" s="1"/>
      <c r="P389" s="1"/>
      <c r="Q389" s="1"/>
      <c r="R389" s="1"/>
      <c r="S389" s="1"/>
      <c r="T389" s="1"/>
    </row>
    <row r="390" spans="1:20" ht="13.5">
      <c r="A390" s="1"/>
      <c r="B390" s="1"/>
      <c r="C390" s="1"/>
      <c r="D390" s="1"/>
      <c r="E390" s="1"/>
      <c r="F390" s="1"/>
      <c r="G390" s="1"/>
      <c r="H390" s="1"/>
      <c r="I390" s="1"/>
      <c r="J390" s="1"/>
      <c r="K390" s="1"/>
      <c r="L390" s="1"/>
      <c r="M390" s="1"/>
      <c r="N390" s="1"/>
      <c r="O390" s="1"/>
      <c r="P390" s="1"/>
      <c r="Q390" s="1"/>
      <c r="R390" s="1"/>
      <c r="S390" s="1"/>
      <c r="T390" s="1"/>
    </row>
    <row r="391" spans="1:20" ht="13.5">
      <c r="A391" s="1"/>
      <c r="B391" s="1"/>
      <c r="C391" s="1"/>
      <c r="D391" s="1"/>
      <c r="E391" s="1"/>
      <c r="F391" s="1"/>
      <c r="G391" s="1"/>
      <c r="H391" s="1"/>
      <c r="I391" s="1"/>
      <c r="J391" s="1"/>
      <c r="K391" s="1"/>
      <c r="L391" s="1"/>
      <c r="M391" s="1"/>
      <c r="N391" s="1"/>
      <c r="O391" s="1"/>
      <c r="P391" s="1"/>
      <c r="Q391" s="1"/>
      <c r="R391" s="1"/>
      <c r="S391" s="1"/>
      <c r="T391" s="1"/>
    </row>
    <row r="392" spans="1:20" ht="13.5">
      <c r="A392" s="1"/>
      <c r="B392" s="1"/>
      <c r="C392" s="1"/>
      <c r="D392" s="1"/>
      <c r="E392" s="1"/>
      <c r="F392" s="1"/>
      <c r="G392" s="1"/>
      <c r="H392" s="1"/>
      <c r="I392" s="1"/>
      <c r="J392" s="1"/>
      <c r="K392" s="1"/>
      <c r="L392" s="1"/>
      <c r="M392" s="1"/>
      <c r="N392" s="1"/>
      <c r="O392" s="1"/>
      <c r="P392" s="1"/>
      <c r="Q392" s="1"/>
      <c r="R392" s="1"/>
      <c r="S392" s="1"/>
      <c r="T392" s="1"/>
    </row>
    <row r="393" spans="1:20" ht="13.5">
      <c r="A393" s="1"/>
      <c r="B393" s="1"/>
      <c r="C393" s="1"/>
      <c r="D393" s="1"/>
      <c r="E393" s="1"/>
      <c r="F393" s="1"/>
      <c r="G393" s="1"/>
      <c r="H393" s="1"/>
      <c r="I393" s="1"/>
      <c r="J393" s="1"/>
      <c r="K393" s="1"/>
      <c r="L393" s="1"/>
      <c r="M393" s="1"/>
      <c r="N393" s="1"/>
      <c r="O393" s="1"/>
      <c r="P393" s="1"/>
      <c r="Q393" s="1"/>
      <c r="R393" s="1"/>
      <c r="S393" s="1"/>
      <c r="T393" s="1"/>
    </row>
    <row r="394" spans="1:20" ht="13.5">
      <c r="A394" s="1"/>
      <c r="B394" s="1"/>
      <c r="C394" s="1"/>
      <c r="D394" s="1"/>
      <c r="E394" s="1"/>
      <c r="F394" s="1"/>
      <c r="G394" s="1"/>
      <c r="H394" s="1"/>
      <c r="I394" s="1"/>
      <c r="J394" s="1"/>
      <c r="K394" s="1"/>
      <c r="L394" s="1"/>
      <c r="M394" s="1"/>
      <c r="N394" s="1"/>
      <c r="O394" s="1"/>
      <c r="P394" s="1"/>
      <c r="Q394" s="1"/>
      <c r="R394" s="1"/>
      <c r="S394" s="1"/>
      <c r="T394" s="1"/>
    </row>
    <row r="395" spans="1:20" ht="13.5">
      <c r="A395" s="1"/>
      <c r="B395" s="1"/>
      <c r="C395" s="1"/>
      <c r="D395" s="1"/>
      <c r="E395" s="1"/>
      <c r="F395" s="1"/>
      <c r="G395" s="1"/>
      <c r="H395" s="1"/>
      <c r="I395" s="1"/>
      <c r="J395" s="1"/>
      <c r="K395" s="1"/>
      <c r="L395" s="1"/>
      <c r="M395" s="1"/>
      <c r="N395" s="1"/>
      <c r="O395" s="1"/>
      <c r="P395" s="1"/>
      <c r="Q395" s="1"/>
      <c r="R395" s="1"/>
      <c r="S395" s="1"/>
      <c r="T395" s="1"/>
    </row>
    <row r="396" spans="1:20" ht="13.5">
      <c r="A396" s="1"/>
      <c r="B396" s="1"/>
      <c r="C396" s="1"/>
      <c r="D396" s="1"/>
      <c r="E396" s="1"/>
      <c r="F396" s="1"/>
      <c r="G396" s="1"/>
      <c r="H396" s="1"/>
      <c r="I396" s="1"/>
      <c r="J396" s="1"/>
      <c r="K396" s="1"/>
      <c r="L396" s="1"/>
      <c r="M396" s="1"/>
      <c r="N396" s="1"/>
      <c r="O396" s="1"/>
      <c r="P396" s="1"/>
      <c r="Q396" s="1"/>
      <c r="R396" s="1"/>
      <c r="S396" s="1"/>
      <c r="T396" s="1"/>
    </row>
    <row r="397" spans="1:20" ht="13.5">
      <c r="A397" s="1"/>
      <c r="B397" s="1"/>
      <c r="C397" s="1"/>
      <c r="D397" s="1"/>
      <c r="E397" s="1"/>
      <c r="F397" s="1"/>
      <c r="G397" s="1"/>
      <c r="H397" s="1"/>
      <c r="I397" s="1"/>
      <c r="J397" s="1"/>
      <c r="K397" s="1"/>
      <c r="L397" s="1"/>
      <c r="M397" s="1"/>
      <c r="N397" s="1"/>
      <c r="O397" s="1"/>
      <c r="P397" s="1"/>
      <c r="Q397" s="1"/>
      <c r="R397" s="1"/>
      <c r="S397" s="1"/>
      <c r="T397" s="1"/>
    </row>
    <row r="398" spans="1:20" ht="13.5">
      <c r="A398" s="1"/>
      <c r="B398" s="1"/>
      <c r="C398" s="1"/>
      <c r="D398" s="1"/>
      <c r="E398" s="1"/>
      <c r="F398" s="1"/>
      <c r="G398" s="1"/>
      <c r="H398" s="1"/>
      <c r="I398" s="1"/>
      <c r="J398" s="1"/>
      <c r="K398" s="1"/>
      <c r="L398" s="1"/>
      <c r="M398" s="1"/>
      <c r="N398" s="1"/>
      <c r="O398" s="1"/>
      <c r="P398" s="1"/>
      <c r="Q398" s="1"/>
      <c r="R398" s="1"/>
      <c r="S398" s="1"/>
      <c r="T398" s="1"/>
    </row>
    <row r="399" spans="1:20" ht="13.5">
      <c r="A399" s="1"/>
      <c r="B399" s="1"/>
      <c r="C399" s="1"/>
      <c r="D399" s="1"/>
      <c r="E399" s="1"/>
      <c r="F399" s="1"/>
      <c r="G399" s="1"/>
      <c r="H399" s="1"/>
      <c r="I399" s="1"/>
      <c r="J399" s="1"/>
      <c r="K399" s="1"/>
      <c r="L399" s="1"/>
      <c r="M399" s="1"/>
      <c r="N399" s="1"/>
      <c r="O399" s="1"/>
      <c r="P399" s="1"/>
      <c r="Q399" s="1"/>
      <c r="R399" s="1"/>
      <c r="S399" s="1"/>
      <c r="T399" s="1"/>
    </row>
    <row r="400" spans="1:20" ht="13.5">
      <c r="A400" s="1"/>
      <c r="B400" s="1"/>
      <c r="C400" s="1"/>
      <c r="D400" s="1"/>
      <c r="E400" s="1"/>
      <c r="F400" s="1"/>
      <c r="G400" s="1"/>
      <c r="H400" s="1"/>
      <c r="I400" s="1"/>
      <c r="J400" s="1"/>
      <c r="K400" s="1"/>
      <c r="L400" s="1"/>
      <c r="M400" s="1"/>
      <c r="N400" s="1"/>
      <c r="O400" s="1"/>
      <c r="P400" s="1"/>
      <c r="Q400" s="1"/>
      <c r="R400" s="1"/>
      <c r="S400" s="1"/>
      <c r="T400" s="1"/>
    </row>
    <row r="401" spans="1:20" ht="13.5">
      <c r="A401" s="1"/>
      <c r="B401" s="1"/>
      <c r="C401" s="1"/>
      <c r="D401" s="1"/>
      <c r="E401" s="1"/>
      <c r="F401" s="1"/>
      <c r="G401" s="1"/>
      <c r="H401" s="1"/>
      <c r="I401" s="1"/>
      <c r="J401" s="1"/>
      <c r="K401" s="1"/>
      <c r="L401" s="1"/>
      <c r="M401" s="1"/>
      <c r="N401" s="1"/>
      <c r="O401" s="1"/>
      <c r="P401" s="1"/>
      <c r="Q401" s="1"/>
      <c r="R401" s="1"/>
      <c r="S401" s="1"/>
      <c r="T401" s="1"/>
    </row>
    <row r="402" spans="1:20" ht="13.5">
      <c r="A402" s="1"/>
      <c r="B402" s="1"/>
      <c r="C402" s="1"/>
      <c r="D402" s="1"/>
      <c r="E402" s="1"/>
      <c r="F402" s="1"/>
      <c r="G402" s="1"/>
      <c r="H402" s="1"/>
      <c r="I402" s="1"/>
      <c r="J402" s="1"/>
      <c r="K402" s="1"/>
      <c r="L402" s="1"/>
      <c r="M402" s="1"/>
      <c r="N402" s="1"/>
      <c r="O402" s="1"/>
      <c r="P402" s="1"/>
      <c r="Q402" s="1"/>
      <c r="R402" s="1"/>
      <c r="S402" s="1"/>
      <c r="T402" s="1"/>
    </row>
    <row r="403" spans="1:20" ht="13.5">
      <c r="A403" s="1"/>
      <c r="B403" s="1"/>
      <c r="C403" s="1"/>
      <c r="D403" s="1"/>
      <c r="E403" s="1"/>
      <c r="F403" s="1"/>
      <c r="G403" s="1"/>
      <c r="H403" s="1"/>
      <c r="I403" s="1"/>
      <c r="J403" s="1"/>
      <c r="K403" s="1"/>
      <c r="L403" s="1"/>
      <c r="M403" s="1"/>
      <c r="N403" s="1"/>
      <c r="O403" s="1"/>
      <c r="P403" s="1"/>
      <c r="Q403" s="1"/>
      <c r="R403" s="1"/>
      <c r="S403" s="1"/>
      <c r="T403" s="1"/>
    </row>
    <row r="404" spans="1:20" ht="13.5">
      <c r="A404" s="1"/>
      <c r="B404" s="1"/>
      <c r="C404" s="1"/>
      <c r="D404" s="1"/>
      <c r="E404" s="1"/>
      <c r="F404" s="1"/>
      <c r="G404" s="1"/>
      <c r="H404" s="1"/>
      <c r="I404" s="1"/>
      <c r="J404" s="1"/>
      <c r="K404" s="1"/>
      <c r="L404" s="1"/>
      <c r="M404" s="1"/>
      <c r="N404" s="1"/>
      <c r="O404" s="1"/>
      <c r="P404" s="1"/>
      <c r="Q404" s="1"/>
      <c r="R404" s="1"/>
      <c r="S404" s="1"/>
      <c r="T404" s="1"/>
    </row>
    <row r="405" spans="1:20" ht="13.5">
      <c r="A405" s="1"/>
      <c r="B405" s="1"/>
      <c r="C405" s="1"/>
      <c r="D405" s="1"/>
      <c r="E405" s="1"/>
      <c r="F405" s="1"/>
      <c r="G405" s="1"/>
      <c r="H405" s="1"/>
      <c r="I405" s="1"/>
      <c r="J405" s="1"/>
      <c r="K405" s="1"/>
      <c r="L405" s="1"/>
      <c r="M405" s="1"/>
      <c r="N405" s="1"/>
      <c r="O405" s="1"/>
      <c r="P405" s="1"/>
      <c r="Q405" s="1"/>
      <c r="R405" s="1"/>
      <c r="S405" s="1"/>
      <c r="T405" s="1"/>
    </row>
    <row r="406" spans="1:20" ht="13.5">
      <c r="A406" s="1"/>
      <c r="B406" s="1"/>
      <c r="C406" s="1"/>
      <c r="D406" s="1"/>
      <c r="E406" s="1"/>
      <c r="F406" s="1"/>
      <c r="G406" s="1"/>
      <c r="H406" s="1"/>
      <c r="I406" s="1"/>
      <c r="J406" s="1"/>
      <c r="K406" s="1"/>
      <c r="L406" s="1"/>
      <c r="M406" s="1"/>
      <c r="N406" s="1"/>
      <c r="O406" s="1"/>
      <c r="P406" s="1"/>
      <c r="Q406" s="1"/>
      <c r="R406" s="1"/>
      <c r="S406" s="1"/>
      <c r="T406" s="1"/>
    </row>
    <row r="407" spans="1:20" ht="13.5">
      <c r="A407" s="1"/>
      <c r="B407" s="1"/>
      <c r="C407" s="1"/>
      <c r="D407" s="1"/>
      <c r="E407" s="1"/>
      <c r="F407" s="1"/>
      <c r="G407" s="1"/>
      <c r="H407" s="1"/>
      <c r="I407" s="1"/>
      <c r="J407" s="1"/>
      <c r="K407" s="1"/>
      <c r="L407" s="1"/>
      <c r="M407" s="1"/>
      <c r="N407" s="1"/>
      <c r="O407" s="1"/>
      <c r="P407" s="1"/>
      <c r="Q407" s="1"/>
      <c r="R407" s="1"/>
      <c r="S407" s="1"/>
      <c r="T407" s="1"/>
    </row>
    <row r="408" spans="1:20" ht="13.5">
      <c r="A408" s="1"/>
      <c r="B408" s="1"/>
      <c r="C408" s="1"/>
      <c r="D408" s="1"/>
      <c r="E408" s="1"/>
      <c r="F408" s="1"/>
      <c r="G408" s="1"/>
      <c r="H408" s="1"/>
      <c r="I408" s="1"/>
      <c r="J408" s="1"/>
      <c r="K408" s="1"/>
      <c r="L408" s="1"/>
      <c r="M408" s="1"/>
      <c r="N408" s="1"/>
      <c r="O408" s="1"/>
      <c r="P408" s="1"/>
      <c r="Q408" s="1"/>
      <c r="R408" s="1"/>
      <c r="S408" s="1"/>
      <c r="T408" s="1"/>
    </row>
    <row r="409" spans="1:20" ht="13.5">
      <c r="A409" s="1"/>
      <c r="B409" s="1"/>
      <c r="C409" s="1"/>
      <c r="D409" s="1"/>
      <c r="E409" s="1"/>
      <c r="F409" s="1"/>
      <c r="G409" s="1"/>
      <c r="H409" s="1"/>
      <c r="I409" s="1"/>
      <c r="J409" s="1"/>
      <c r="K409" s="1"/>
      <c r="L409" s="1"/>
      <c r="M409" s="1"/>
      <c r="N409" s="1"/>
      <c r="O409" s="1"/>
      <c r="P409" s="1"/>
      <c r="Q409" s="1"/>
      <c r="R409" s="1"/>
      <c r="S409" s="1"/>
      <c r="T409" s="1"/>
    </row>
    <row r="410" spans="1:20" ht="13.5">
      <c r="A410" s="1"/>
      <c r="B410" s="1"/>
      <c r="C410" s="1"/>
      <c r="D410" s="1"/>
      <c r="E410" s="1"/>
      <c r="F410" s="1"/>
      <c r="G410" s="1"/>
      <c r="H410" s="1"/>
      <c r="I410" s="1"/>
      <c r="J410" s="1"/>
      <c r="K410" s="1"/>
      <c r="L410" s="1"/>
      <c r="M410" s="1"/>
      <c r="N410" s="1"/>
      <c r="O410" s="1"/>
      <c r="P410" s="1"/>
      <c r="Q410" s="1"/>
      <c r="R410" s="1"/>
      <c r="S410" s="1"/>
      <c r="T410" s="1"/>
    </row>
    <row r="411" spans="1:20" ht="13.5">
      <c r="A411" s="1"/>
      <c r="B411" s="1"/>
      <c r="C411" s="1"/>
      <c r="D411" s="1"/>
      <c r="E411" s="1"/>
      <c r="F411" s="1"/>
      <c r="G411" s="1"/>
      <c r="H411" s="1"/>
      <c r="I411" s="1"/>
      <c r="J411" s="1"/>
      <c r="K411" s="1"/>
      <c r="L411" s="1"/>
      <c r="M411" s="1"/>
      <c r="N411" s="1"/>
      <c r="O411" s="1"/>
      <c r="P411" s="1"/>
      <c r="Q411" s="1"/>
      <c r="R411" s="1"/>
      <c r="S411" s="1"/>
      <c r="T411" s="1"/>
    </row>
    <row r="412" spans="1:20" ht="13.5">
      <c r="A412" s="1"/>
      <c r="B412" s="1"/>
      <c r="C412" s="1"/>
      <c r="D412" s="1"/>
      <c r="E412" s="1"/>
      <c r="F412" s="1"/>
      <c r="G412" s="1"/>
      <c r="H412" s="1"/>
      <c r="I412" s="1"/>
      <c r="J412" s="1"/>
      <c r="K412" s="1"/>
      <c r="L412" s="1"/>
      <c r="M412" s="1"/>
      <c r="N412" s="1"/>
      <c r="O412" s="1"/>
      <c r="P412" s="1"/>
      <c r="Q412" s="1"/>
      <c r="R412" s="1"/>
      <c r="S412" s="1"/>
      <c r="T412" s="1"/>
    </row>
    <row r="413" spans="1:20" ht="13.5">
      <c r="A413" s="1"/>
      <c r="B413" s="1"/>
      <c r="C413" s="1"/>
      <c r="D413" s="1"/>
      <c r="E413" s="1"/>
      <c r="F413" s="1"/>
      <c r="G413" s="1"/>
      <c r="H413" s="1"/>
      <c r="I413" s="1"/>
      <c r="J413" s="1"/>
      <c r="K413" s="1"/>
      <c r="L413" s="1"/>
      <c r="M413" s="1"/>
      <c r="N413" s="1"/>
      <c r="O413" s="1"/>
      <c r="P413" s="1"/>
      <c r="Q413" s="1"/>
      <c r="R413" s="1"/>
      <c r="S413" s="1"/>
      <c r="T413" s="1"/>
    </row>
    <row r="414" spans="1:20" ht="13.5">
      <c r="A414" s="1"/>
      <c r="B414" s="1"/>
      <c r="C414" s="1"/>
      <c r="D414" s="1"/>
      <c r="E414" s="1"/>
      <c r="F414" s="1"/>
      <c r="G414" s="1"/>
      <c r="H414" s="1"/>
      <c r="I414" s="1"/>
      <c r="J414" s="1"/>
      <c r="K414" s="1"/>
      <c r="L414" s="1"/>
      <c r="M414" s="1"/>
      <c r="N414" s="1"/>
      <c r="O414" s="1"/>
      <c r="P414" s="1"/>
      <c r="Q414" s="1"/>
      <c r="R414" s="1"/>
      <c r="S414" s="1"/>
      <c r="T414" s="1"/>
    </row>
    <row r="415" spans="1:20" ht="13.5">
      <c r="A415" s="1"/>
      <c r="B415" s="1"/>
      <c r="C415" s="1"/>
      <c r="D415" s="1"/>
      <c r="E415" s="1"/>
      <c r="F415" s="1"/>
      <c r="G415" s="1"/>
      <c r="H415" s="1"/>
      <c r="I415" s="1"/>
      <c r="J415" s="1"/>
      <c r="K415" s="1"/>
      <c r="L415" s="1"/>
      <c r="M415" s="1"/>
      <c r="N415" s="1"/>
      <c r="O415" s="1"/>
      <c r="P415" s="1"/>
      <c r="Q415" s="1"/>
      <c r="R415" s="1"/>
      <c r="S415" s="1"/>
      <c r="T415" s="1"/>
    </row>
    <row r="416" spans="1:20" ht="13.5">
      <c r="A416" s="1"/>
      <c r="B416" s="1"/>
      <c r="C416" s="1"/>
      <c r="D416" s="1"/>
      <c r="E416" s="1"/>
      <c r="F416" s="1"/>
      <c r="G416" s="1"/>
      <c r="H416" s="1"/>
      <c r="I416" s="1"/>
      <c r="J416" s="1"/>
      <c r="K416" s="1"/>
      <c r="L416" s="1"/>
      <c r="M416" s="1"/>
      <c r="N416" s="1"/>
      <c r="O416" s="1"/>
      <c r="P416" s="1"/>
      <c r="Q416" s="1"/>
      <c r="R416" s="1"/>
      <c r="S416" s="1"/>
      <c r="T416" s="1"/>
    </row>
    <row r="417" spans="1:20" ht="13.5">
      <c r="A417" s="1"/>
      <c r="B417" s="1"/>
      <c r="C417" s="1"/>
      <c r="D417" s="1"/>
      <c r="E417" s="1"/>
      <c r="F417" s="1"/>
      <c r="G417" s="1"/>
      <c r="H417" s="1"/>
      <c r="I417" s="1"/>
      <c r="J417" s="1"/>
      <c r="K417" s="1"/>
      <c r="L417" s="1"/>
      <c r="M417" s="1"/>
      <c r="N417" s="1"/>
      <c r="O417" s="1"/>
      <c r="P417" s="1"/>
      <c r="Q417" s="1"/>
      <c r="R417" s="1"/>
      <c r="S417" s="1"/>
      <c r="T417" s="1"/>
    </row>
    <row r="418" spans="1:20" ht="13.5">
      <c r="A418" s="1"/>
      <c r="B418" s="1"/>
      <c r="C418" s="1"/>
      <c r="D418" s="1"/>
      <c r="E418" s="1"/>
      <c r="F418" s="1"/>
      <c r="G418" s="1"/>
      <c r="H418" s="1"/>
      <c r="I418" s="1"/>
      <c r="J418" s="1"/>
      <c r="K418" s="1"/>
      <c r="L418" s="1"/>
      <c r="M418" s="1"/>
      <c r="N418" s="1"/>
      <c r="O418" s="1"/>
      <c r="P418" s="1"/>
      <c r="Q418" s="1"/>
      <c r="R418" s="1"/>
      <c r="S418" s="1"/>
      <c r="T418" s="1"/>
    </row>
    <row r="419" spans="1:20" ht="13.5">
      <c r="A419" s="1"/>
      <c r="B419" s="1"/>
      <c r="C419" s="1"/>
      <c r="D419" s="1"/>
      <c r="E419" s="1"/>
      <c r="F419" s="1"/>
      <c r="G419" s="1"/>
      <c r="H419" s="1"/>
      <c r="I419" s="1"/>
      <c r="J419" s="1"/>
      <c r="K419" s="1"/>
      <c r="L419" s="1"/>
      <c r="M419" s="1"/>
      <c r="N419" s="1"/>
      <c r="O419" s="1"/>
      <c r="P419" s="1"/>
      <c r="Q419" s="1"/>
      <c r="R419" s="1"/>
      <c r="S419" s="1"/>
      <c r="T419" s="1"/>
    </row>
    <row r="420" spans="1:20" ht="13.5">
      <c r="A420" s="1"/>
      <c r="B420" s="1"/>
      <c r="C420" s="1"/>
      <c r="D420" s="1"/>
      <c r="E420" s="1"/>
      <c r="F420" s="1"/>
      <c r="G420" s="1"/>
      <c r="H420" s="1"/>
      <c r="I420" s="1"/>
      <c r="J420" s="1"/>
      <c r="K420" s="1"/>
      <c r="L420" s="1"/>
      <c r="M420" s="1"/>
      <c r="N420" s="1"/>
      <c r="O420" s="1"/>
      <c r="P420" s="1"/>
      <c r="Q420" s="1"/>
      <c r="R420" s="1"/>
      <c r="S420" s="1"/>
      <c r="T420" s="1"/>
    </row>
    <row r="421" spans="1:20" ht="13.5">
      <c r="A421" s="1"/>
      <c r="B421" s="1"/>
      <c r="C421" s="1"/>
      <c r="D421" s="1"/>
      <c r="E421" s="1"/>
      <c r="F421" s="1"/>
      <c r="G421" s="1"/>
      <c r="H421" s="1"/>
      <c r="I421" s="1"/>
      <c r="J421" s="1"/>
      <c r="K421" s="1"/>
      <c r="L421" s="1"/>
      <c r="M421" s="1"/>
      <c r="N421" s="1"/>
      <c r="O421" s="1"/>
      <c r="P421" s="1"/>
      <c r="Q421" s="1"/>
      <c r="R421" s="1"/>
      <c r="S421" s="1"/>
      <c r="T421" s="1"/>
    </row>
    <row r="422" spans="1:20" ht="13.5">
      <c r="A422" s="1"/>
      <c r="B422" s="1"/>
      <c r="C422" s="1"/>
      <c r="D422" s="1"/>
      <c r="E422" s="1"/>
      <c r="F422" s="1"/>
      <c r="G422" s="1"/>
      <c r="H422" s="1"/>
      <c r="I422" s="1"/>
      <c r="J422" s="1"/>
      <c r="K422" s="1"/>
      <c r="L422" s="1"/>
      <c r="M422" s="1"/>
      <c r="N422" s="1"/>
      <c r="O422" s="1"/>
      <c r="P422" s="1"/>
      <c r="Q422" s="1"/>
      <c r="R422" s="1"/>
      <c r="S422" s="1"/>
      <c r="T422" s="1"/>
    </row>
    <row r="423" spans="1:20" ht="13.5">
      <c r="A423" s="1"/>
      <c r="B423" s="1"/>
      <c r="C423" s="1"/>
      <c r="D423" s="1"/>
      <c r="E423" s="1"/>
      <c r="F423" s="1"/>
      <c r="G423" s="1"/>
      <c r="H423" s="1"/>
      <c r="I423" s="1"/>
      <c r="J423" s="1"/>
      <c r="K423" s="1"/>
      <c r="L423" s="1"/>
      <c r="M423" s="1"/>
      <c r="N423" s="1"/>
      <c r="O423" s="1"/>
      <c r="P423" s="1"/>
      <c r="Q423" s="1"/>
      <c r="R423" s="1"/>
      <c r="S423" s="1"/>
      <c r="T423" s="1"/>
    </row>
    <row r="424" spans="1:20" ht="13.5">
      <c r="A424" s="1"/>
      <c r="B424" s="1"/>
      <c r="C424" s="1"/>
      <c r="D424" s="1"/>
      <c r="E424" s="1"/>
      <c r="F424" s="1"/>
      <c r="G424" s="1"/>
      <c r="H424" s="1"/>
      <c r="I424" s="1"/>
      <c r="J424" s="1"/>
      <c r="K424" s="1"/>
      <c r="L424" s="1"/>
      <c r="M424" s="1"/>
      <c r="N424" s="1"/>
      <c r="O424" s="1"/>
      <c r="P424" s="1"/>
      <c r="Q424" s="1"/>
      <c r="R424" s="1"/>
      <c r="S424" s="1"/>
      <c r="T424" s="1"/>
    </row>
    <row r="425" spans="1:20" ht="13.5">
      <c r="A425" s="1"/>
      <c r="B425" s="1"/>
      <c r="C425" s="1"/>
      <c r="D425" s="1"/>
      <c r="E425" s="1"/>
      <c r="F425" s="1"/>
      <c r="G425" s="1"/>
      <c r="H425" s="1"/>
      <c r="I425" s="1"/>
      <c r="J425" s="1"/>
      <c r="K425" s="1"/>
      <c r="L425" s="1"/>
      <c r="M425" s="1"/>
      <c r="N425" s="1"/>
      <c r="O425" s="1"/>
      <c r="P425" s="1"/>
      <c r="Q425" s="1"/>
      <c r="R425" s="1"/>
      <c r="S425" s="1"/>
      <c r="T425" s="1"/>
    </row>
    <row r="426" spans="1:20" ht="13.5">
      <c r="A426" s="1"/>
      <c r="B426" s="1"/>
      <c r="C426" s="1"/>
      <c r="D426" s="1"/>
      <c r="E426" s="1"/>
      <c r="F426" s="1"/>
      <c r="G426" s="1"/>
      <c r="H426" s="1"/>
      <c r="I426" s="1"/>
      <c r="J426" s="1"/>
      <c r="K426" s="1"/>
      <c r="L426" s="1"/>
      <c r="M426" s="1"/>
      <c r="N426" s="1"/>
      <c r="O426" s="1"/>
      <c r="P426" s="1"/>
      <c r="Q426" s="1"/>
      <c r="R426" s="1"/>
      <c r="S426" s="1"/>
      <c r="T426" s="1"/>
    </row>
    <row r="427" spans="1:20" ht="13.5">
      <c r="A427" s="1"/>
      <c r="B427" s="1"/>
      <c r="C427" s="1"/>
      <c r="D427" s="1"/>
      <c r="E427" s="1"/>
      <c r="F427" s="1"/>
      <c r="G427" s="1"/>
      <c r="H427" s="1"/>
      <c r="I427" s="1"/>
      <c r="J427" s="1"/>
      <c r="K427" s="1"/>
      <c r="L427" s="1"/>
      <c r="M427" s="1"/>
      <c r="N427" s="1"/>
      <c r="O427" s="1"/>
      <c r="P427" s="1"/>
      <c r="Q427" s="1"/>
      <c r="R427" s="1"/>
      <c r="S427" s="1"/>
      <c r="T427" s="1"/>
    </row>
    <row r="428" spans="1:20" ht="13.5">
      <c r="A428" s="1"/>
      <c r="B428" s="1"/>
      <c r="C428" s="1"/>
      <c r="D428" s="1"/>
      <c r="E428" s="1"/>
      <c r="F428" s="1"/>
      <c r="G428" s="1"/>
      <c r="H428" s="1"/>
      <c r="I428" s="1"/>
      <c r="J428" s="1"/>
      <c r="K428" s="1"/>
      <c r="L428" s="1"/>
      <c r="M428" s="1"/>
      <c r="N428" s="1"/>
      <c r="O428" s="1"/>
      <c r="P428" s="1"/>
      <c r="Q428" s="1"/>
      <c r="R428" s="1"/>
      <c r="S428" s="1"/>
      <c r="T428" s="1"/>
    </row>
    <row r="429" spans="1:20" ht="13.5">
      <c r="A429" s="1"/>
      <c r="B429" s="1"/>
      <c r="C429" s="1"/>
      <c r="D429" s="1"/>
      <c r="E429" s="1"/>
      <c r="F429" s="1"/>
      <c r="G429" s="1"/>
      <c r="H429" s="1"/>
      <c r="I429" s="1"/>
      <c r="J429" s="1"/>
      <c r="K429" s="1"/>
      <c r="L429" s="1"/>
      <c r="M429" s="1"/>
      <c r="N429" s="1"/>
      <c r="O429" s="1"/>
      <c r="P429" s="1"/>
      <c r="Q429" s="1"/>
      <c r="R429" s="1"/>
      <c r="S429" s="1"/>
      <c r="T429" s="1"/>
    </row>
    <row r="430" spans="1:20" ht="13.5">
      <c r="A430" s="1"/>
      <c r="B430" s="1"/>
      <c r="C430" s="1"/>
      <c r="D430" s="1"/>
      <c r="E430" s="1"/>
      <c r="F430" s="1"/>
      <c r="G430" s="1"/>
      <c r="H430" s="1"/>
      <c r="I430" s="1"/>
      <c r="J430" s="1"/>
      <c r="K430" s="1"/>
      <c r="L430" s="1"/>
      <c r="M430" s="1"/>
      <c r="N430" s="1"/>
      <c r="O430" s="1"/>
      <c r="P430" s="1"/>
      <c r="Q430" s="1"/>
      <c r="R430" s="1"/>
      <c r="S430" s="1"/>
      <c r="T430" s="1"/>
    </row>
    <row r="431" spans="1:20" ht="13.5">
      <c r="A431" s="1"/>
      <c r="B431" s="1"/>
      <c r="C431" s="1"/>
      <c r="D431" s="1"/>
      <c r="E431" s="1"/>
      <c r="F431" s="1"/>
      <c r="G431" s="1"/>
      <c r="H431" s="1"/>
      <c r="I431" s="1"/>
      <c r="J431" s="1"/>
      <c r="K431" s="1"/>
      <c r="L431" s="1"/>
      <c r="M431" s="1"/>
      <c r="N431" s="1"/>
      <c r="O431" s="1"/>
      <c r="P431" s="1"/>
      <c r="Q431" s="1"/>
      <c r="R431" s="1"/>
      <c r="S431" s="1"/>
      <c r="T431" s="1"/>
    </row>
    <row r="432" spans="1:20" ht="13.5">
      <c r="A432" s="1"/>
      <c r="B432" s="1"/>
      <c r="C432" s="1"/>
      <c r="D432" s="1"/>
      <c r="E432" s="1"/>
      <c r="F432" s="1"/>
      <c r="G432" s="1"/>
      <c r="H432" s="1"/>
      <c r="I432" s="1"/>
      <c r="J432" s="1"/>
      <c r="K432" s="1"/>
      <c r="L432" s="1"/>
      <c r="M432" s="1"/>
      <c r="N432" s="1"/>
      <c r="O432" s="1"/>
      <c r="P432" s="1"/>
      <c r="Q432" s="1"/>
      <c r="R432" s="1"/>
      <c r="S432" s="1"/>
      <c r="T432" s="1"/>
    </row>
    <row r="433" spans="1:20" ht="13.5">
      <c r="A433" s="1"/>
      <c r="B433" s="1"/>
      <c r="C433" s="1"/>
      <c r="D433" s="1"/>
      <c r="E433" s="1"/>
      <c r="F433" s="1"/>
      <c r="G433" s="1"/>
      <c r="H433" s="1"/>
      <c r="I433" s="1"/>
      <c r="J433" s="1"/>
      <c r="K433" s="1"/>
      <c r="L433" s="1"/>
      <c r="M433" s="1"/>
      <c r="N433" s="1"/>
      <c r="O433" s="1"/>
      <c r="P433" s="1"/>
      <c r="Q433" s="1"/>
      <c r="R433" s="1"/>
      <c r="S433" s="1"/>
      <c r="T433" s="1"/>
    </row>
    <row r="434" spans="1:20" ht="13.5">
      <c r="A434" s="1"/>
      <c r="B434" s="1"/>
      <c r="C434" s="1"/>
      <c r="D434" s="1"/>
      <c r="E434" s="1"/>
      <c r="F434" s="1"/>
      <c r="G434" s="1"/>
      <c r="H434" s="1"/>
      <c r="I434" s="1"/>
      <c r="J434" s="1"/>
      <c r="K434" s="1"/>
      <c r="L434" s="1"/>
      <c r="M434" s="1"/>
      <c r="N434" s="1"/>
      <c r="O434" s="1"/>
      <c r="P434" s="1"/>
      <c r="Q434" s="1"/>
      <c r="R434" s="1"/>
      <c r="S434" s="1"/>
      <c r="T434" s="1"/>
    </row>
    <row r="435" spans="1:20" ht="13.5">
      <c r="A435" s="1"/>
      <c r="B435" s="1"/>
      <c r="C435" s="1"/>
      <c r="D435" s="1"/>
      <c r="E435" s="1"/>
      <c r="F435" s="1"/>
      <c r="G435" s="1"/>
      <c r="H435" s="1"/>
      <c r="I435" s="1"/>
      <c r="J435" s="1"/>
      <c r="K435" s="1"/>
      <c r="L435" s="1"/>
      <c r="M435" s="1"/>
      <c r="N435" s="1"/>
      <c r="O435" s="1"/>
      <c r="P435" s="1"/>
      <c r="Q435" s="1"/>
      <c r="R435" s="1"/>
      <c r="S435" s="1"/>
      <c r="T435" s="1"/>
    </row>
    <row r="436" spans="1:20" ht="13.5">
      <c r="A436" s="1"/>
      <c r="B436" s="1"/>
      <c r="C436" s="1"/>
      <c r="D436" s="1"/>
      <c r="E436" s="1"/>
      <c r="F436" s="1"/>
      <c r="G436" s="1"/>
      <c r="H436" s="1"/>
      <c r="I436" s="1"/>
      <c r="J436" s="1"/>
      <c r="K436" s="1"/>
      <c r="L436" s="1"/>
      <c r="M436" s="1"/>
      <c r="N436" s="1"/>
      <c r="O436" s="1"/>
      <c r="P436" s="1"/>
      <c r="Q436" s="1"/>
      <c r="R436" s="1"/>
      <c r="S436" s="1"/>
      <c r="T436" s="1"/>
    </row>
    <row r="437" spans="1:20" ht="13.5">
      <c r="A437" s="1"/>
      <c r="B437" s="1"/>
      <c r="C437" s="1"/>
      <c r="D437" s="1"/>
      <c r="E437" s="1"/>
      <c r="F437" s="1"/>
      <c r="G437" s="1"/>
      <c r="H437" s="1"/>
      <c r="I437" s="1"/>
      <c r="J437" s="1"/>
      <c r="K437" s="1"/>
      <c r="L437" s="1"/>
      <c r="M437" s="1"/>
      <c r="N437" s="1"/>
      <c r="O437" s="1"/>
      <c r="P437" s="1"/>
      <c r="Q437" s="1"/>
      <c r="R437" s="1"/>
      <c r="S437" s="1"/>
      <c r="T437" s="1"/>
    </row>
    <row r="438" spans="1:20" ht="13.5">
      <c r="A438" s="1"/>
      <c r="B438" s="1"/>
      <c r="C438" s="1"/>
      <c r="D438" s="1"/>
      <c r="E438" s="1"/>
      <c r="F438" s="1"/>
      <c r="G438" s="1"/>
      <c r="H438" s="1"/>
      <c r="I438" s="1"/>
      <c r="J438" s="1"/>
      <c r="K438" s="1"/>
      <c r="L438" s="1"/>
      <c r="M438" s="1"/>
      <c r="N438" s="1"/>
      <c r="O438" s="1"/>
      <c r="P438" s="1"/>
      <c r="Q438" s="1"/>
      <c r="R438" s="1"/>
      <c r="S438" s="1"/>
      <c r="T438" s="1"/>
    </row>
    <row r="439" spans="1:20" ht="13.5">
      <c r="A439" s="1"/>
      <c r="B439" s="1"/>
      <c r="C439" s="1"/>
      <c r="D439" s="1"/>
      <c r="E439" s="1"/>
      <c r="F439" s="1"/>
      <c r="G439" s="1"/>
      <c r="H439" s="1"/>
      <c r="I439" s="1"/>
      <c r="J439" s="1"/>
      <c r="K439" s="1"/>
      <c r="L439" s="1"/>
      <c r="M439" s="1"/>
      <c r="N439" s="1"/>
      <c r="O439" s="1"/>
      <c r="P439" s="1"/>
      <c r="Q439" s="1"/>
      <c r="R439" s="1"/>
      <c r="S439" s="1"/>
      <c r="T439" s="1"/>
    </row>
    <row r="440" spans="1:20" ht="13.5">
      <c r="A440" s="1"/>
      <c r="B440" s="1"/>
      <c r="C440" s="1"/>
      <c r="D440" s="1"/>
      <c r="E440" s="1"/>
      <c r="F440" s="1"/>
      <c r="G440" s="1"/>
      <c r="H440" s="1"/>
      <c r="I440" s="1"/>
      <c r="J440" s="1"/>
      <c r="K440" s="1"/>
      <c r="L440" s="1"/>
      <c r="M440" s="1"/>
      <c r="N440" s="1"/>
      <c r="O440" s="1"/>
      <c r="P440" s="1"/>
      <c r="Q440" s="1"/>
      <c r="R440" s="1"/>
      <c r="S440" s="1"/>
      <c r="T440" s="1"/>
    </row>
    <row r="441" spans="1:20" ht="13.5">
      <c r="A441" s="1"/>
      <c r="B441" s="1"/>
      <c r="C441" s="1"/>
      <c r="D441" s="1"/>
      <c r="E441" s="1"/>
      <c r="F441" s="1"/>
      <c r="G441" s="1"/>
      <c r="H441" s="1"/>
      <c r="I441" s="1"/>
      <c r="J441" s="1"/>
      <c r="K441" s="1"/>
      <c r="L441" s="1"/>
      <c r="M441" s="1"/>
      <c r="N441" s="1"/>
      <c r="O441" s="1"/>
      <c r="P441" s="1"/>
      <c r="Q441" s="1"/>
      <c r="R441" s="1"/>
      <c r="S441" s="1"/>
      <c r="T441" s="1"/>
    </row>
    <row r="442" spans="1:20" ht="13.5">
      <c r="A442" s="1"/>
      <c r="B442" s="1"/>
      <c r="C442" s="1"/>
      <c r="D442" s="1"/>
      <c r="E442" s="1"/>
      <c r="F442" s="1"/>
      <c r="G442" s="1"/>
      <c r="H442" s="1"/>
      <c r="I442" s="1"/>
      <c r="J442" s="1"/>
      <c r="K442" s="1"/>
      <c r="L442" s="1"/>
      <c r="M442" s="1"/>
      <c r="N442" s="1"/>
      <c r="O442" s="1"/>
      <c r="P442" s="1"/>
      <c r="Q442" s="1"/>
      <c r="R442" s="1"/>
      <c r="S442" s="1"/>
      <c r="T442" s="1"/>
    </row>
    <row r="443" spans="1:20" ht="13.5">
      <c r="A443" s="1"/>
      <c r="B443" s="1"/>
      <c r="C443" s="1"/>
      <c r="D443" s="1"/>
      <c r="E443" s="1"/>
      <c r="F443" s="1"/>
      <c r="G443" s="1"/>
      <c r="H443" s="1"/>
      <c r="I443" s="1"/>
      <c r="J443" s="1"/>
      <c r="K443" s="1"/>
      <c r="L443" s="1"/>
      <c r="M443" s="1"/>
      <c r="N443" s="1"/>
      <c r="O443" s="1"/>
      <c r="P443" s="1"/>
      <c r="Q443" s="1"/>
      <c r="R443" s="1"/>
      <c r="S443" s="1"/>
      <c r="T443" s="1"/>
    </row>
    <row r="444" spans="1:20" ht="13.5">
      <c r="A444" s="1"/>
      <c r="B444" s="1"/>
      <c r="C444" s="1"/>
      <c r="D444" s="1"/>
      <c r="E444" s="1"/>
      <c r="F444" s="1"/>
      <c r="G444" s="1"/>
      <c r="H444" s="1"/>
      <c r="I444" s="1"/>
      <c r="J444" s="1"/>
      <c r="K444" s="1"/>
      <c r="L444" s="1"/>
      <c r="M444" s="1"/>
      <c r="N444" s="1"/>
      <c r="O444" s="1"/>
      <c r="P444" s="1"/>
      <c r="Q444" s="1"/>
      <c r="R444" s="1"/>
      <c r="S444" s="1"/>
      <c r="T444" s="1"/>
    </row>
    <row r="445" spans="1:20" ht="13.5">
      <c r="A445" s="1"/>
      <c r="B445" s="1"/>
      <c r="C445" s="1"/>
      <c r="D445" s="1"/>
      <c r="E445" s="1"/>
      <c r="F445" s="1"/>
      <c r="G445" s="1"/>
      <c r="H445" s="1"/>
      <c r="I445" s="1"/>
      <c r="J445" s="1"/>
      <c r="K445" s="1"/>
      <c r="L445" s="1"/>
      <c r="M445" s="1"/>
      <c r="N445" s="1"/>
      <c r="O445" s="1"/>
      <c r="P445" s="1"/>
      <c r="Q445" s="1"/>
      <c r="R445" s="1"/>
      <c r="S445" s="1"/>
      <c r="T445" s="1"/>
    </row>
    <row r="446" spans="1:20" ht="13.5">
      <c r="A446" s="1"/>
      <c r="B446" s="1"/>
      <c r="C446" s="1"/>
      <c r="D446" s="1"/>
      <c r="E446" s="1"/>
      <c r="F446" s="1"/>
      <c r="G446" s="1"/>
      <c r="H446" s="1"/>
      <c r="I446" s="1"/>
      <c r="J446" s="1"/>
      <c r="K446" s="1"/>
      <c r="L446" s="1"/>
      <c r="M446" s="1"/>
      <c r="N446" s="1"/>
      <c r="O446" s="1"/>
      <c r="P446" s="1"/>
      <c r="Q446" s="1"/>
      <c r="R446" s="1"/>
      <c r="S446" s="1"/>
      <c r="T446" s="1"/>
    </row>
    <row r="447" spans="1:20" ht="13.5">
      <c r="A447" s="1"/>
      <c r="B447" s="1"/>
      <c r="C447" s="1"/>
      <c r="D447" s="1"/>
      <c r="E447" s="1"/>
      <c r="F447" s="1"/>
      <c r="G447" s="1"/>
      <c r="H447" s="1"/>
      <c r="I447" s="1"/>
      <c r="J447" s="1"/>
      <c r="K447" s="1"/>
      <c r="L447" s="1"/>
      <c r="M447" s="1"/>
      <c r="N447" s="1"/>
      <c r="O447" s="1"/>
      <c r="P447" s="1"/>
      <c r="Q447" s="1"/>
      <c r="R447" s="1"/>
      <c r="S447" s="1"/>
      <c r="T447" s="1"/>
    </row>
    <row r="448" spans="1:20" ht="13.5">
      <c r="A448" s="1"/>
      <c r="B448" s="1"/>
      <c r="C448" s="1"/>
      <c r="D448" s="1"/>
      <c r="E448" s="1"/>
      <c r="F448" s="1"/>
      <c r="G448" s="1"/>
      <c r="H448" s="1"/>
      <c r="I448" s="1"/>
      <c r="J448" s="1"/>
      <c r="K448" s="1"/>
      <c r="L448" s="1"/>
      <c r="M448" s="1"/>
      <c r="N448" s="1"/>
      <c r="O448" s="1"/>
      <c r="P448" s="1"/>
      <c r="Q448" s="1"/>
      <c r="R448" s="1"/>
      <c r="S448" s="1"/>
      <c r="T448" s="1"/>
    </row>
    <row r="449" spans="1:20" ht="13.5">
      <c r="A449" s="1"/>
      <c r="B449" s="1"/>
      <c r="C449" s="1"/>
      <c r="D449" s="1"/>
      <c r="E449" s="1"/>
      <c r="F449" s="1"/>
      <c r="G449" s="1"/>
      <c r="H449" s="1"/>
      <c r="I449" s="1"/>
      <c r="J449" s="1"/>
      <c r="K449" s="1"/>
      <c r="L449" s="1"/>
      <c r="M449" s="1"/>
      <c r="N449" s="1"/>
      <c r="O449" s="1"/>
      <c r="P449" s="1"/>
      <c r="Q449" s="1"/>
      <c r="R449" s="1"/>
      <c r="S449" s="1"/>
      <c r="T449" s="1"/>
    </row>
    <row r="450" spans="1:20" ht="13.5">
      <c r="A450" s="1"/>
      <c r="B450" s="1"/>
      <c r="C450" s="1"/>
      <c r="D450" s="1"/>
      <c r="E450" s="1"/>
      <c r="F450" s="1"/>
      <c r="G450" s="1"/>
      <c r="H450" s="1"/>
      <c r="I450" s="1"/>
      <c r="J450" s="1"/>
      <c r="K450" s="1"/>
      <c r="L450" s="1"/>
      <c r="M450" s="1"/>
      <c r="N450" s="1"/>
      <c r="O450" s="1"/>
      <c r="P450" s="1"/>
      <c r="Q450" s="1"/>
      <c r="R450" s="1"/>
      <c r="S450" s="1"/>
      <c r="T450" s="1"/>
    </row>
    <row r="451" spans="1:20" ht="13.5">
      <c r="A451" s="1"/>
      <c r="B451" s="1"/>
      <c r="C451" s="1"/>
      <c r="D451" s="1"/>
      <c r="E451" s="1"/>
      <c r="F451" s="1"/>
      <c r="G451" s="1"/>
      <c r="H451" s="1"/>
      <c r="I451" s="1"/>
      <c r="J451" s="1"/>
      <c r="K451" s="1"/>
      <c r="L451" s="1"/>
      <c r="M451" s="1"/>
      <c r="N451" s="1"/>
      <c r="O451" s="1"/>
      <c r="P451" s="1"/>
      <c r="Q451" s="1"/>
      <c r="R451" s="1"/>
      <c r="S451" s="1"/>
      <c r="T451" s="1"/>
    </row>
    <row r="452" spans="1:20" ht="13.5">
      <c r="A452" s="1"/>
      <c r="B452" s="1"/>
      <c r="C452" s="1"/>
      <c r="D452" s="1"/>
      <c r="E452" s="1"/>
      <c r="F452" s="1"/>
      <c r="G452" s="1"/>
      <c r="H452" s="1"/>
      <c r="I452" s="1"/>
      <c r="J452" s="1"/>
      <c r="K452" s="1"/>
      <c r="L452" s="1"/>
      <c r="M452" s="1"/>
      <c r="N452" s="1"/>
      <c r="O452" s="1"/>
      <c r="P452" s="1"/>
      <c r="Q452" s="1"/>
      <c r="R452" s="1"/>
      <c r="S452" s="1"/>
      <c r="T452" s="1"/>
    </row>
    <row r="453" spans="1:20" ht="13.5">
      <c r="A453" s="1"/>
      <c r="B453" s="1"/>
      <c r="C453" s="1"/>
      <c r="D453" s="1"/>
      <c r="E453" s="1"/>
      <c r="F453" s="1"/>
      <c r="G453" s="1"/>
      <c r="H453" s="1"/>
      <c r="I453" s="1"/>
      <c r="J453" s="1"/>
      <c r="K453" s="1"/>
      <c r="L453" s="1"/>
      <c r="M453" s="1"/>
      <c r="N453" s="1"/>
      <c r="O453" s="1"/>
      <c r="P453" s="1"/>
      <c r="Q453" s="1"/>
      <c r="R453" s="1"/>
      <c r="S453" s="1"/>
      <c r="T453" s="1"/>
    </row>
    <row r="454" spans="1:20" ht="13.5">
      <c r="A454" s="1"/>
      <c r="B454" s="1"/>
      <c r="C454" s="1"/>
      <c r="D454" s="1"/>
      <c r="E454" s="1"/>
      <c r="F454" s="1"/>
      <c r="G454" s="1"/>
      <c r="H454" s="1"/>
      <c r="I454" s="1"/>
      <c r="J454" s="1"/>
      <c r="K454" s="1"/>
      <c r="L454" s="1"/>
      <c r="M454" s="1"/>
      <c r="N454" s="1"/>
      <c r="O454" s="1"/>
      <c r="P454" s="1"/>
      <c r="Q454" s="1"/>
      <c r="R454" s="1"/>
      <c r="S454" s="1"/>
      <c r="T454" s="1"/>
    </row>
    <row r="455" spans="1:20" ht="13.5">
      <c r="A455" s="1"/>
      <c r="B455" s="1"/>
      <c r="C455" s="1"/>
      <c r="D455" s="1"/>
      <c r="E455" s="1"/>
      <c r="F455" s="1"/>
      <c r="G455" s="1"/>
      <c r="H455" s="1"/>
      <c r="I455" s="1"/>
      <c r="J455" s="1"/>
      <c r="K455" s="1"/>
      <c r="L455" s="1"/>
      <c r="M455" s="1"/>
      <c r="N455" s="1"/>
      <c r="O455" s="1"/>
      <c r="P455" s="1"/>
      <c r="Q455" s="1"/>
      <c r="R455" s="1"/>
      <c r="S455" s="1"/>
      <c r="T455" s="1"/>
    </row>
    <row r="456" spans="1:20" ht="13.5">
      <c r="A456" s="1"/>
      <c r="B456" s="1"/>
      <c r="C456" s="1"/>
      <c r="D456" s="1"/>
      <c r="E456" s="1"/>
      <c r="F456" s="1"/>
      <c r="G456" s="1"/>
      <c r="H456" s="1"/>
      <c r="I456" s="1"/>
      <c r="J456" s="1"/>
      <c r="K456" s="1"/>
      <c r="L456" s="1"/>
      <c r="M456" s="1"/>
      <c r="N456" s="1"/>
      <c r="O456" s="1"/>
      <c r="P456" s="1"/>
      <c r="Q456" s="1"/>
      <c r="R456" s="1"/>
      <c r="S456" s="1"/>
      <c r="T456" s="1"/>
    </row>
    <row r="457" spans="1:20" ht="13.5">
      <c r="A457" s="1"/>
      <c r="B457" s="1"/>
      <c r="C457" s="1"/>
      <c r="D457" s="1"/>
      <c r="E457" s="1"/>
      <c r="F457" s="1"/>
      <c r="G457" s="1"/>
      <c r="H457" s="1"/>
      <c r="I457" s="1"/>
      <c r="J457" s="1"/>
      <c r="K457" s="1"/>
      <c r="L457" s="1"/>
      <c r="M457" s="1"/>
      <c r="N457" s="1"/>
      <c r="O457" s="1"/>
      <c r="P457" s="1"/>
      <c r="Q457" s="1"/>
      <c r="R457" s="1"/>
      <c r="S457" s="1"/>
      <c r="T457" s="1"/>
    </row>
    <row r="458" spans="1:20" ht="13.5">
      <c r="A458" s="1"/>
      <c r="B458" s="1"/>
      <c r="C458" s="1"/>
      <c r="D458" s="1"/>
      <c r="E458" s="1"/>
      <c r="F458" s="1"/>
      <c r="G458" s="1"/>
      <c r="H458" s="1"/>
      <c r="I458" s="1"/>
      <c r="J458" s="1"/>
      <c r="K458" s="1"/>
      <c r="L458" s="1"/>
      <c r="M458" s="1"/>
      <c r="N458" s="1"/>
      <c r="O458" s="1"/>
      <c r="P458" s="1"/>
      <c r="Q458" s="1"/>
      <c r="R458" s="1"/>
      <c r="S458" s="1"/>
      <c r="T458" s="1"/>
    </row>
    <row r="459" spans="1:20" ht="13.5">
      <c r="A459" s="1"/>
      <c r="B459" s="1"/>
      <c r="C459" s="1"/>
      <c r="D459" s="1"/>
      <c r="E459" s="1"/>
      <c r="F459" s="1"/>
      <c r="G459" s="1"/>
      <c r="H459" s="1"/>
      <c r="I459" s="1"/>
      <c r="J459" s="1"/>
      <c r="K459" s="1"/>
      <c r="L459" s="1"/>
      <c r="M459" s="1"/>
      <c r="N459" s="1"/>
      <c r="O459" s="1"/>
      <c r="P459" s="1"/>
      <c r="Q459" s="1"/>
      <c r="R459" s="1"/>
      <c r="S459" s="1"/>
      <c r="T459" s="1"/>
    </row>
    <row r="460" spans="1:20" ht="13.5">
      <c r="A460" s="1"/>
      <c r="B460" s="1"/>
      <c r="C460" s="1"/>
      <c r="D460" s="1"/>
      <c r="E460" s="1"/>
      <c r="F460" s="1"/>
      <c r="G460" s="1"/>
      <c r="H460" s="1"/>
      <c r="I460" s="1"/>
      <c r="J460" s="1"/>
      <c r="K460" s="1"/>
      <c r="L460" s="1"/>
      <c r="M460" s="1"/>
      <c r="N460" s="1"/>
      <c r="O460" s="1"/>
      <c r="P460" s="1"/>
      <c r="Q460" s="1"/>
      <c r="R460" s="1"/>
      <c r="S460" s="1"/>
      <c r="T460" s="1"/>
    </row>
    <row r="461" spans="1:20" ht="13.5">
      <c r="A461" s="1"/>
      <c r="B461" s="1"/>
      <c r="C461" s="1"/>
      <c r="D461" s="1"/>
      <c r="E461" s="1"/>
      <c r="F461" s="1"/>
      <c r="G461" s="1"/>
      <c r="H461" s="1"/>
      <c r="I461" s="1"/>
      <c r="J461" s="1"/>
      <c r="K461" s="1"/>
      <c r="L461" s="1"/>
      <c r="M461" s="1"/>
      <c r="N461" s="1"/>
      <c r="O461" s="1"/>
      <c r="P461" s="1"/>
      <c r="Q461" s="1"/>
      <c r="R461" s="1"/>
      <c r="S461" s="1"/>
      <c r="T461" s="1"/>
    </row>
    <row r="462" spans="1:20" ht="13.5">
      <c r="A462" s="1"/>
      <c r="B462" s="1"/>
      <c r="C462" s="1"/>
      <c r="D462" s="1"/>
      <c r="E462" s="1"/>
      <c r="F462" s="1"/>
      <c r="G462" s="1"/>
      <c r="H462" s="1"/>
      <c r="I462" s="1"/>
      <c r="J462" s="1"/>
      <c r="K462" s="1"/>
      <c r="L462" s="1"/>
      <c r="M462" s="1"/>
      <c r="N462" s="1"/>
      <c r="O462" s="1"/>
      <c r="P462" s="1"/>
      <c r="Q462" s="1"/>
      <c r="R462" s="1"/>
      <c r="S462" s="1"/>
      <c r="T462" s="1"/>
    </row>
    <row r="463" spans="1:20" ht="13.5">
      <c r="A463" s="1"/>
      <c r="B463" s="1"/>
      <c r="C463" s="1"/>
      <c r="D463" s="1"/>
      <c r="E463" s="1"/>
      <c r="F463" s="1"/>
      <c r="G463" s="1"/>
      <c r="H463" s="1"/>
      <c r="I463" s="1"/>
      <c r="J463" s="1"/>
      <c r="K463" s="1"/>
      <c r="L463" s="1"/>
      <c r="M463" s="1"/>
      <c r="N463" s="1"/>
      <c r="O463" s="1"/>
      <c r="P463" s="1"/>
      <c r="Q463" s="1"/>
      <c r="R463" s="1"/>
      <c r="S463" s="1"/>
      <c r="T463" s="1"/>
    </row>
    <row r="464" spans="1:20" ht="13.5">
      <c r="A464" s="1"/>
      <c r="B464" s="1"/>
      <c r="C464" s="1"/>
      <c r="D464" s="1"/>
      <c r="E464" s="1"/>
      <c r="F464" s="1"/>
      <c r="G464" s="1"/>
      <c r="H464" s="1"/>
      <c r="I464" s="1"/>
      <c r="J464" s="1"/>
      <c r="K464" s="1"/>
      <c r="L464" s="1"/>
      <c r="M464" s="1"/>
      <c r="N464" s="1"/>
      <c r="O464" s="1"/>
      <c r="P464" s="1"/>
      <c r="Q464" s="1"/>
      <c r="R464" s="1"/>
      <c r="S464" s="1"/>
      <c r="T464" s="1"/>
    </row>
    <row r="465" spans="1:20" ht="13.5">
      <c r="A465" s="1"/>
      <c r="B465" s="1"/>
      <c r="C465" s="1"/>
      <c r="D465" s="1"/>
      <c r="E465" s="1"/>
      <c r="F465" s="1"/>
      <c r="G465" s="1"/>
      <c r="H465" s="1"/>
      <c r="I465" s="1"/>
      <c r="J465" s="1"/>
      <c r="K465" s="1"/>
      <c r="L465" s="1"/>
      <c r="M465" s="1"/>
      <c r="N465" s="1"/>
      <c r="O465" s="1"/>
      <c r="P465" s="1"/>
      <c r="Q465" s="1"/>
      <c r="R465" s="1"/>
      <c r="S465" s="1"/>
      <c r="T465" s="1"/>
    </row>
    <row r="466" spans="1:20" ht="13.5">
      <c r="A466" s="1"/>
      <c r="B466" s="1"/>
      <c r="C466" s="1"/>
      <c r="D466" s="1"/>
      <c r="E466" s="1"/>
      <c r="F466" s="1"/>
      <c r="G466" s="1"/>
      <c r="H466" s="1"/>
      <c r="I466" s="1"/>
      <c r="J466" s="1"/>
      <c r="K466" s="1"/>
      <c r="L466" s="1"/>
      <c r="M466" s="1"/>
      <c r="N466" s="1"/>
      <c r="O466" s="1"/>
      <c r="P466" s="1"/>
      <c r="Q466" s="1"/>
      <c r="R466" s="1"/>
      <c r="S466" s="1"/>
      <c r="T466" s="1"/>
    </row>
    <row r="467" spans="1:20" ht="13.5">
      <c r="A467" s="1"/>
      <c r="B467" s="1"/>
      <c r="C467" s="1"/>
      <c r="D467" s="1"/>
      <c r="E467" s="1"/>
      <c r="F467" s="1"/>
      <c r="G467" s="1"/>
      <c r="H467" s="1"/>
      <c r="I467" s="1"/>
      <c r="J467" s="1"/>
      <c r="K467" s="1"/>
      <c r="L467" s="1"/>
      <c r="M467" s="1"/>
      <c r="N467" s="1"/>
      <c r="O467" s="1"/>
      <c r="P467" s="1"/>
      <c r="Q467" s="1"/>
      <c r="R467" s="1"/>
      <c r="S467" s="1"/>
      <c r="T467" s="1"/>
    </row>
    <row r="468" spans="1:20" ht="13.5">
      <c r="A468" s="1"/>
      <c r="B468" s="1"/>
      <c r="C468" s="1"/>
      <c r="D468" s="1"/>
      <c r="E468" s="1"/>
      <c r="F468" s="1"/>
      <c r="G468" s="1"/>
      <c r="H468" s="1"/>
      <c r="I468" s="1"/>
      <c r="J468" s="1"/>
      <c r="K468" s="1"/>
      <c r="L468" s="1"/>
      <c r="M468" s="1"/>
      <c r="N468" s="1"/>
      <c r="O468" s="1"/>
      <c r="P468" s="1"/>
      <c r="Q468" s="1"/>
      <c r="R468" s="1"/>
      <c r="S468" s="1"/>
      <c r="T468" s="1"/>
    </row>
    <row r="469" spans="1:20" ht="13.5">
      <c r="A469" s="1"/>
      <c r="B469" s="1"/>
      <c r="C469" s="1"/>
      <c r="D469" s="1"/>
      <c r="E469" s="1"/>
      <c r="F469" s="1"/>
      <c r="G469" s="1"/>
      <c r="H469" s="1"/>
      <c r="I469" s="1"/>
      <c r="J469" s="1"/>
      <c r="K469" s="1"/>
      <c r="L469" s="1"/>
      <c r="M469" s="1"/>
      <c r="N469" s="1"/>
      <c r="O469" s="1"/>
      <c r="P469" s="1"/>
      <c r="Q469" s="1"/>
      <c r="R469" s="1"/>
      <c r="S469" s="1"/>
      <c r="T469" s="1"/>
    </row>
    <row r="470" spans="1:20" ht="13.5">
      <c r="A470" s="1"/>
      <c r="B470" s="1"/>
      <c r="C470" s="1"/>
      <c r="D470" s="1"/>
      <c r="E470" s="1"/>
      <c r="F470" s="1"/>
      <c r="G470" s="1"/>
      <c r="H470" s="1"/>
      <c r="I470" s="1"/>
      <c r="J470" s="1"/>
      <c r="K470" s="1"/>
      <c r="L470" s="1"/>
      <c r="M470" s="1"/>
      <c r="N470" s="1"/>
      <c r="O470" s="1"/>
      <c r="P470" s="1"/>
      <c r="Q470" s="1"/>
      <c r="R470" s="1"/>
      <c r="S470" s="1"/>
      <c r="T470" s="1"/>
    </row>
    <row r="471" spans="1:20" ht="13.5">
      <c r="A471" s="1"/>
      <c r="B471" s="1"/>
      <c r="C471" s="1"/>
      <c r="D471" s="1"/>
      <c r="E471" s="1"/>
      <c r="F471" s="1"/>
      <c r="G471" s="1"/>
      <c r="H471" s="1"/>
      <c r="I471" s="1"/>
      <c r="J471" s="1"/>
      <c r="K471" s="1"/>
      <c r="L471" s="1"/>
      <c r="M471" s="1"/>
      <c r="N471" s="1"/>
      <c r="O471" s="1"/>
      <c r="P471" s="1"/>
      <c r="Q471" s="1"/>
      <c r="R471" s="1"/>
      <c r="S471" s="1"/>
      <c r="T471" s="1"/>
    </row>
    <row r="472" spans="1:20" ht="13.5">
      <c r="A472" s="1"/>
      <c r="B472" s="1"/>
      <c r="C472" s="1"/>
      <c r="D472" s="1"/>
      <c r="E472" s="1"/>
      <c r="F472" s="1"/>
      <c r="G472" s="1"/>
      <c r="H472" s="1"/>
      <c r="I472" s="1"/>
      <c r="J472" s="1"/>
      <c r="K472" s="1"/>
      <c r="L472" s="1"/>
      <c r="M472" s="1"/>
      <c r="N472" s="1"/>
      <c r="O472" s="1"/>
      <c r="P472" s="1"/>
      <c r="Q472" s="1"/>
      <c r="R472" s="1"/>
      <c r="S472" s="1"/>
      <c r="T472" s="1"/>
    </row>
    <row r="473" spans="1:20" ht="13.5">
      <c r="A473" s="1"/>
      <c r="B473" s="1"/>
      <c r="C473" s="1"/>
      <c r="D473" s="1"/>
      <c r="E473" s="1"/>
      <c r="F473" s="1"/>
      <c r="G473" s="1"/>
      <c r="H473" s="1"/>
      <c r="I473" s="1"/>
      <c r="J473" s="1"/>
      <c r="K473" s="1"/>
      <c r="L473" s="1"/>
      <c r="M473" s="1"/>
      <c r="N473" s="1"/>
      <c r="O473" s="1"/>
      <c r="P473" s="1"/>
      <c r="Q473" s="1"/>
      <c r="R473" s="1"/>
      <c r="S473" s="1"/>
      <c r="T473" s="1"/>
    </row>
    <row r="474" spans="1:20" ht="13.5">
      <c r="A474" s="1"/>
      <c r="B474" s="1"/>
      <c r="C474" s="1"/>
      <c r="D474" s="1"/>
      <c r="E474" s="1"/>
      <c r="F474" s="1"/>
      <c r="G474" s="1"/>
      <c r="H474" s="1"/>
      <c r="I474" s="1"/>
      <c r="J474" s="1"/>
      <c r="K474" s="1"/>
      <c r="L474" s="1"/>
      <c r="M474" s="1"/>
      <c r="N474" s="1"/>
      <c r="O474" s="1"/>
      <c r="P474" s="1"/>
      <c r="Q474" s="1"/>
      <c r="R474" s="1"/>
      <c r="S474" s="1"/>
      <c r="T474" s="1"/>
    </row>
    <row r="475" spans="1:20" ht="13.5">
      <c r="A475" s="1"/>
      <c r="B475" s="1"/>
      <c r="C475" s="1"/>
      <c r="D475" s="1"/>
      <c r="E475" s="1"/>
      <c r="F475" s="1"/>
      <c r="G475" s="1"/>
      <c r="H475" s="1"/>
      <c r="I475" s="1"/>
      <c r="J475" s="1"/>
      <c r="K475" s="1"/>
      <c r="L475" s="1"/>
      <c r="M475" s="1"/>
      <c r="N475" s="1"/>
      <c r="O475" s="1"/>
      <c r="P475" s="1"/>
      <c r="Q475" s="1"/>
      <c r="R475" s="1"/>
      <c r="S475" s="1"/>
      <c r="T475" s="1"/>
    </row>
    <row r="476" spans="1:20" ht="13.5">
      <c r="A476" s="1"/>
      <c r="B476" s="1"/>
      <c r="C476" s="1"/>
      <c r="D476" s="1"/>
      <c r="E476" s="1"/>
      <c r="F476" s="1"/>
      <c r="G476" s="1"/>
      <c r="H476" s="1"/>
      <c r="I476" s="1"/>
      <c r="J476" s="1"/>
      <c r="K476" s="1"/>
      <c r="L476" s="1"/>
      <c r="M476" s="1"/>
      <c r="N476" s="1"/>
      <c r="O476" s="1"/>
      <c r="P476" s="1"/>
      <c r="Q476" s="1"/>
      <c r="R476" s="1"/>
      <c r="S476" s="1"/>
      <c r="T476" s="1"/>
    </row>
    <row r="477" spans="1:20" ht="13.5">
      <c r="A477" s="1"/>
      <c r="B477" s="1"/>
      <c r="C477" s="1"/>
      <c r="D477" s="1"/>
      <c r="E477" s="1"/>
      <c r="F477" s="1"/>
      <c r="G477" s="1"/>
      <c r="H477" s="1"/>
      <c r="I477" s="1"/>
      <c r="J477" s="1"/>
      <c r="K477" s="1"/>
      <c r="L477" s="1"/>
      <c r="M477" s="1"/>
      <c r="N477" s="1"/>
      <c r="O477" s="1"/>
      <c r="P477" s="1"/>
      <c r="Q477" s="1"/>
      <c r="R477" s="1"/>
      <c r="S477" s="1"/>
      <c r="T477" s="1"/>
    </row>
    <row r="478" spans="1:20" ht="13.5">
      <c r="A478" s="1"/>
      <c r="B478" s="1"/>
      <c r="C478" s="1"/>
      <c r="D478" s="1"/>
      <c r="E478" s="1"/>
      <c r="F478" s="1"/>
      <c r="G478" s="1"/>
      <c r="H478" s="1"/>
      <c r="I478" s="1"/>
      <c r="J478" s="1"/>
      <c r="K478" s="1"/>
      <c r="L478" s="1"/>
      <c r="M478" s="1"/>
      <c r="N478" s="1"/>
      <c r="O478" s="1"/>
      <c r="P478" s="1"/>
      <c r="Q478" s="1"/>
      <c r="R478" s="1"/>
      <c r="S478" s="1"/>
      <c r="T478" s="1"/>
    </row>
    <row r="479" spans="1:20" ht="13.5">
      <c r="A479" s="1"/>
      <c r="B479" s="1"/>
      <c r="C479" s="1"/>
      <c r="D479" s="1"/>
      <c r="E479" s="1"/>
      <c r="F479" s="1"/>
      <c r="G479" s="1"/>
      <c r="H479" s="1"/>
      <c r="I479" s="1"/>
      <c r="J479" s="1"/>
      <c r="K479" s="1"/>
      <c r="L479" s="1"/>
      <c r="M479" s="1"/>
      <c r="N479" s="1"/>
      <c r="O479" s="1"/>
      <c r="P479" s="1"/>
      <c r="Q479" s="1"/>
      <c r="R479" s="1"/>
      <c r="S479" s="1"/>
      <c r="T479" s="1"/>
    </row>
    <row r="480" spans="1:20" ht="13.5">
      <c r="A480" s="1"/>
      <c r="B480" s="1"/>
      <c r="C480" s="1"/>
      <c r="D480" s="1"/>
      <c r="E480" s="1"/>
      <c r="F480" s="1"/>
      <c r="G480" s="1"/>
      <c r="H480" s="1"/>
      <c r="I480" s="1"/>
      <c r="J480" s="1"/>
      <c r="K480" s="1"/>
      <c r="L480" s="1"/>
      <c r="M480" s="1"/>
      <c r="N480" s="1"/>
      <c r="O480" s="1"/>
      <c r="P480" s="1"/>
      <c r="Q480" s="1"/>
      <c r="R480" s="1"/>
      <c r="S480" s="1"/>
      <c r="T480" s="1"/>
    </row>
    <row r="481" spans="1:20" ht="13.5">
      <c r="A481" s="1"/>
      <c r="B481" s="1"/>
      <c r="C481" s="1"/>
      <c r="D481" s="1"/>
      <c r="E481" s="1"/>
      <c r="F481" s="1"/>
      <c r="G481" s="1"/>
      <c r="H481" s="1"/>
      <c r="I481" s="1"/>
      <c r="J481" s="1"/>
      <c r="K481" s="1"/>
      <c r="L481" s="1"/>
      <c r="M481" s="1"/>
      <c r="N481" s="1"/>
      <c r="O481" s="1"/>
      <c r="P481" s="1"/>
      <c r="Q481" s="1"/>
      <c r="R481" s="1"/>
      <c r="S481" s="1"/>
      <c r="T481" s="1"/>
    </row>
    <row r="482" spans="1:20" ht="13.5">
      <c r="A482" s="1"/>
      <c r="B482" s="1"/>
      <c r="C482" s="1"/>
      <c r="D482" s="1"/>
      <c r="E482" s="1"/>
      <c r="F482" s="1"/>
      <c r="G482" s="1"/>
      <c r="H482" s="1"/>
      <c r="I482" s="1"/>
      <c r="J482" s="1"/>
      <c r="K482" s="1"/>
      <c r="L482" s="1"/>
      <c r="M482" s="1"/>
      <c r="N482" s="1"/>
      <c r="O482" s="1"/>
      <c r="P482" s="1"/>
      <c r="Q482" s="1"/>
      <c r="R482" s="1"/>
      <c r="S482" s="1"/>
      <c r="T482" s="1"/>
    </row>
    <row r="483" spans="1:20" ht="13.5">
      <c r="A483" s="1"/>
      <c r="B483" s="1"/>
      <c r="C483" s="1"/>
      <c r="D483" s="1"/>
      <c r="E483" s="1"/>
      <c r="F483" s="1"/>
      <c r="G483" s="1"/>
      <c r="H483" s="1"/>
      <c r="I483" s="1"/>
      <c r="J483" s="1"/>
      <c r="K483" s="1"/>
      <c r="L483" s="1"/>
      <c r="M483" s="1"/>
      <c r="N483" s="1"/>
      <c r="O483" s="1"/>
      <c r="P483" s="1"/>
      <c r="Q483" s="1"/>
      <c r="R483" s="1"/>
      <c r="S483" s="1"/>
      <c r="T483" s="1"/>
    </row>
    <row r="484" spans="1:20" ht="13.5">
      <c r="A484" s="1"/>
      <c r="B484" s="1"/>
      <c r="C484" s="1"/>
      <c r="D484" s="1"/>
      <c r="E484" s="1"/>
      <c r="F484" s="1"/>
      <c r="G484" s="1"/>
      <c r="H484" s="1"/>
      <c r="I484" s="1"/>
      <c r="J484" s="1"/>
      <c r="K484" s="1"/>
      <c r="L484" s="1"/>
      <c r="M484" s="1"/>
      <c r="N484" s="1"/>
      <c r="O484" s="1"/>
      <c r="P484" s="1"/>
      <c r="Q484" s="1"/>
      <c r="R484" s="1"/>
      <c r="S484" s="1"/>
      <c r="T484" s="1"/>
    </row>
    <row r="485" spans="1:20" ht="13.5">
      <c r="A485" s="1"/>
      <c r="B485" s="1"/>
      <c r="C485" s="1"/>
      <c r="D485" s="1"/>
      <c r="E485" s="1"/>
      <c r="F485" s="1"/>
      <c r="G485" s="1"/>
      <c r="H485" s="1"/>
      <c r="I485" s="1"/>
      <c r="J485" s="1"/>
      <c r="K485" s="1"/>
      <c r="L485" s="1"/>
      <c r="M485" s="1"/>
      <c r="N485" s="1"/>
      <c r="O485" s="1"/>
      <c r="P485" s="1"/>
      <c r="Q485" s="1"/>
      <c r="R485" s="1"/>
      <c r="S485" s="1"/>
      <c r="T485" s="1"/>
    </row>
    <row r="486" spans="1:20" ht="13.5">
      <c r="A486" s="1"/>
      <c r="B486" s="1"/>
      <c r="C486" s="1"/>
      <c r="D486" s="1"/>
      <c r="E486" s="1"/>
      <c r="F486" s="1"/>
      <c r="G486" s="1"/>
      <c r="H486" s="1"/>
      <c r="I486" s="1"/>
      <c r="J486" s="1"/>
      <c r="K486" s="1"/>
      <c r="L486" s="1"/>
      <c r="M486" s="1"/>
      <c r="N486" s="1"/>
      <c r="O486" s="1"/>
      <c r="P486" s="1"/>
      <c r="Q486" s="1"/>
      <c r="R486" s="1"/>
      <c r="S486" s="1"/>
      <c r="T486" s="1"/>
    </row>
    <row r="487" spans="1:20" ht="13.5">
      <c r="A487" s="1"/>
      <c r="B487" s="1"/>
      <c r="C487" s="1"/>
      <c r="D487" s="1"/>
      <c r="E487" s="1"/>
      <c r="F487" s="1"/>
      <c r="G487" s="1"/>
      <c r="H487" s="1"/>
      <c r="I487" s="1"/>
      <c r="J487" s="1"/>
      <c r="K487" s="1"/>
      <c r="L487" s="1"/>
      <c r="M487" s="1"/>
      <c r="N487" s="1"/>
      <c r="O487" s="1"/>
      <c r="P487" s="1"/>
      <c r="Q487" s="1"/>
      <c r="R487" s="1"/>
      <c r="S487" s="1"/>
      <c r="T487" s="1"/>
    </row>
    <row r="488" spans="1:20" ht="13.5">
      <c r="A488" s="1"/>
      <c r="B488" s="1"/>
      <c r="C488" s="1"/>
      <c r="D488" s="1"/>
      <c r="E488" s="1"/>
      <c r="F488" s="1"/>
      <c r="G488" s="1"/>
      <c r="H488" s="1"/>
      <c r="I488" s="1"/>
      <c r="J488" s="1"/>
      <c r="K488" s="1"/>
      <c r="L488" s="1"/>
      <c r="M488" s="1"/>
      <c r="N488" s="1"/>
      <c r="O488" s="1"/>
      <c r="P488" s="1"/>
      <c r="Q488" s="1"/>
      <c r="R488" s="1"/>
      <c r="S488" s="1"/>
      <c r="T488" s="1"/>
    </row>
    <row r="489" spans="1:20" ht="13.5">
      <c r="A489" s="1"/>
      <c r="B489" s="1"/>
      <c r="C489" s="1"/>
      <c r="D489" s="1"/>
      <c r="E489" s="1"/>
      <c r="F489" s="1"/>
      <c r="G489" s="1"/>
      <c r="H489" s="1"/>
      <c r="I489" s="1"/>
      <c r="J489" s="1"/>
      <c r="K489" s="1"/>
      <c r="L489" s="1"/>
      <c r="M489" s="1"/>
      <c r="N489" s="1"/>
      <c r="O489" s="1"/>
      <c r="P489" s="1"/>
      <c r="Q489" s="1"/>
      <c r="R489" s="1"/>
      <c r="S489" s="1"/>
      <c r="T489" s="1"/>
    </row>
    <row r="490" spans="1:20" ht="13.5">
      <c r="A490" s="1"/>
      <c r="B490" s="1"/>
      <c r="C490" s="1"/>
      <c r="D490" s="1"/>
      <c r="E490" s="1"/>
      <c r="F490" s="1"/>
      <c r="G490" s="1"/>
      <c r="H490" s="1"/>
      <c r="I490" s="1"/>
      <c r="J490" s="1"/>
      <c r="K490" s="1"/>
      <c r="L490" s="1"/>
      <c r="M490" s="1"/>
      <c r="N490" s="1"/>
      <c r="O490" s="1"/>
      <c r="P490" s="1"/>
      <c r="Q490" s="1"/>
      <c r="R490" s="1"/>
      <c r="S490" s="1"/>
      <c r="T490" s="1"/>
    </row>
    <row r="491" spans="1:20" ht="13.5">
      <c r="A491" s="1"/>
      <c r="B491" s="1"/>
      <c r="C491" s="1"/>
      <c r="D491" s="1"/>
      <c r="E491" s="1"/>
      <c r="F491" s="1"/>
      <c r="G491" s="1"/>
      <c r="H491" s="1"/>
      <c r="I491" s="1"/>
      <c r="J491" s="1"/>
      <c r="K491" s="1"/>
      <c r="L491" s="1"/>
      <c r="M491" s="1"/>
      <c r="N491" s="1"/>
      <c r="O491" s="1"/>
      <c r="P491" s="1"/>
      <c r="Q491" s="1"/>
      <c r="R491" s="1"/>
      <c r="S491" s="1"/>
      <c r="T491" s="1"/>
    </row>
    <row r="492" spans="1:20" ht="13.5">
      <c r="A492" s="1"/>
      <c r="B492" s="1"/>
      <c r="C492" s="1"/>
      <c r="D492" s="1"/>
      <c r="E492" s="1"/>
      <c r="F492" s="1"/>
      <c r="G492" s="1"/>
      <c r="H492" s="1"/>
      <c r="I492" s="1"/>
      <c r="J492" s="1"/>
      <c r="K492" s="1"/>
      <c r="L492" s="1"/>
      <c r="M492" s="1"/>
      <c r="N492" s="1"/>
      <c r="O492" s="1"/>
      <c r="P492" s="1"/>
      <c r="Q492" s="1"/>
      <c r="R492" s="1"/>
      <c r="S492" s="1"/>
      <c r="T492" s="1"/>
    </row>
    <row r="493" spans="1:20" ht="13.5">
      <c r="A493" s="1"/>
      <c r="B493" s="1"/>
      <c r="C493" s="1"/>
      <c r="D493" s="1"/>
      <c r="E493" s="1"/>
      <c r="F493" s="1"/>
      <c r="G493" s="1"/>
      <c r="H493" s="1"/>
      <c r="I493" s="1"/>
      <c r="J493" s="1"/>
      <c r="K493" s="1"/>
      <c r="L493" s="1"/>
      <c r="M493" s="1"/>
      <c r="N493" s="1"/>
      <c r="O493" s="1"/>
      <c r="P493" s="1"/>
      <c r="Q493" s="1"/>
      <c r="R493" s="1"/>
      <c r="S493" s="1"/>
      <c r="T493" s="1"/>
    </row>
    <row r="494" spans="1:20" ht="13.5">
      <c r="A494" s="1"/>
      <c r="B494" s="1"/>
      <c r="C494" s="1"/>
      <c r="D494" s="1"/>
      <c r="E494" s="1"/>
      <c r="F494" s="1"/>
      <c r="G494" s="1"/>
      <c r="H494" s="1"/>
      <c r="I494" s="1"/>
      <c r="J494" s="1"/>
      <c r="K494" s="1"/>
      <c r="L494" s="1"/>
      <c r="M494" s="1"/>
      <c r="N494" s="1"/>
      <c r="O494" s="1"/>
      <c r="P494" s="1"/>
      <c r="Q494" s="1"/>
      <c r="R494" s="1"/>
      <c r="S494" s="1"/>
      <c r="T494" s="1"/>
    </row>
    <row r="495" spans="1:20" ht="13.5">
      <c r="A495" s="1"/>
      <c r="B495" s="1"/>
      <c r="C495" s="1"/>
      <c r="D495" s="1"/>
      <c r="E495" s="1"/>
      <c r="F495" s="1"/>
      <c r="G495" s="1"/>
      <c r="H495" s="1"/>
      <c r="I495" s="1"/>
      <c r="J495" s="1"/>
      <c r="K495" s="1"/>
      <c r="L495" s="1"/>
      <c r="M495" s="1"/>
      <c r="N495" s="1"/>
      <c r="O495" s="1"/>
      <c r="P495" s="1"/>
      <c r="Q495" s="1"/>
      <c r="R495" s="1"/>
      <c r="S495" s="1"/>
      <c r="T495" s="1"/>
    </row>
    <row r="496" spans="1:20" ht="13.5">
      <c r="A496" s="1"/>
      <c r="B496" s="1"/>
      <c r="C496" s="1"/>
      <c r="D496" s="1"/>
      <c r="E496" s="1"/>
      <c r="F496" s="1"/>
      <c r="G496" s="1"/>
      <c r="H496" s="1"/>
      <c r="I496" s="1"/>
      <c r="J496" s="1"/>
      <c r="K496" s="1"/>
      <c r="L496" s="1"/>
      <c r="M496" s="1"/>
      <c r="N496" s="1"/>
      <c r="O496" s="1"/>
      <c r="P496" s="1"/>
      <c r="Q496" s="1"/>
      <c r="R496" s="1"/>
      <c r="S496" s="1"/>
      <c r="T496" s="1"/>
    </row>
    <row r="497" spans="1:20" ht="13.5">
      <c r="A497" s="1"/>
      <c r="B497" s="1"/>
      <c r="C497" s="1"/>
      <c r="D497" s="1"/>
      <c r="E497" s="1"/>
      <c r="F497" s="1"/>
      <c r="G497" s="1"/>
      <c r="H497" s="1"/>
      <c r="I497" s="1"/>
      <c r="J497" s="1"/>
      <c r="K497" s="1"/>
      <c r="L497" s="1"/>
      <c r="M497" s="1"/>
      <c r="N497" s="1"/>
      <c r="O497" s="1"/>
      <c r="P497" s="1"/>
      <c r="Q497" s="1"/>
      <c r="R497" s="1"/>
      <c r="S497" s="1"/>
      <c r="T497" s="1"/>
    </row>
    <row r="498" spans="1:20" ht="13.5">
      <c r="A498" s="1"/>
      <c r="B498" s="1"/>
      <c r="C498" s="1"/>
      <c r="D498" s="1"/>
      <c r="E498" s="1"/>
      <c r="F498" s="1"/>
      <c r="G498" s="1"/>
      <c r="H498" s="1"/>
      <c r="I498" s="1"/>
      <c r="J498" s="1"/>
      <c r="K498" s="1"/>
      <c r="L498" s="1"/>
      <c r="M498" s="1"/>
      <c r="N498" s="1"/>
      <c r="O498" s="1"/>
      <c r="P498" s="1"/>
      <c r="Q498" s="1"/>
      <c r="R498" s="1"/>
      <c r="S498" s="1"/>
      <c r="T498" s="1"/>
    </row>
    <row r="499" spans="1:20" ht="13.5">
      <c r="A499" s="1"/>
      <c r="B499" s="1"/>
      <c r="C499" s="1"/>
      <c r="D499" s="1"/>
      <c r="E499" s="1"/>
      <c r="F499" s="1"/>
      <c r="G499" s="1"/>
      <c r="H499" s="1"/>
      <c r="I499" s="1"/>
      <c r="J499" s="1"/>
      <c r="K499" s="1"/>
      <c r="L499" s="1"/>
      <c r="M499" s="1"/>
      <c r="N499" s="1"/>
      <c r="O499" s="1"/>
      <c r="P499" s="1"/>
      <c r="Q499" s="1"/>
      <c r="R499" s="1"/>
      <c r="S499" s="1"/>
      <c r="T499" s="1"/>
    </row>
    <row r="500" spans="1:20" ht="13.5">
      <c r="A500" s="1"/>
      <c r="B500" s="1"/>
      <c r="C500" s="1"/>
      <c r="D500" s="1"/>
      <c r="E500" s="1"/>
      <c r="F500" s="1"/>
      <c r="G500" s="1"/>
      <c r="H500" s="1"/>
      <c r="I500" s="1"/>
      <c r="J500" s="1"/>
      <c r="K500" s="1"/>
      <c r="L500" s="1"/>
      <c r="M500" s="1"/>
      <c r="N500" s="1"/>
      <c r="O500" s="1"/>
      <c r="P500" s="1"/>
      <c r="Q500" s="1"/>
      <c r="R500" s="1"/>
      <c r="S500" s="1"/>
      <c r="T500" s="1"/>
    </row>
    <row r="501" spans="1:20" ht="13.5">
      <c r="A501" s="1"/>
      <c r="B501" s="1"/>
      <c r="C501" s="1"/>
      <c r="D501" s="1"/>
      <c r="E501" s="1"/>
      <c r="F501" s="1"/>
      <c r="G501" s="1"/>
      <c r="H501" s="1"/>
      <c r="I501" s="1"/>
      <c r="J501" s="1"/>
      <c r="K501" s="1"/>
      <c r="L501" s="1"/>
      <c r="M501" s="1"/>
      <c r="N501" s="1"/>
      <c r="O501" s="1"/>
      <c r="P501" s="1"/>
      <c r="Q501" s="1"/>
      <c r="R501" s="1"/>
      <c r="S501" s="1"/>
      <c r="T501" s="1"/>
    </row>
    <row r="502" spans="1:20" ht="13.5">
      <c r="A502" s="1"/>
      <c r="B502" s="1"/>
      <c r="C502" s="1"/>
      <c r="D502" s="1"/>
      <c r="E502" s="1"/>
      <c r="F502" s="1"/>
      <c r="G502" s="1"/>
      <c r="H502" s="1"/>
      <c r="I502" s="1"/>
      <c r="J502" s="1"/>
      <c r="K502" s="1"/>
      <c r="L502" s="1"/>
      <c r="M502" s="1"/>
      <c r="N502" s="1"/>
      <c r="O502" s="1"/>
      <c r="P502" s="1"/>
      <c r="Q502" s="1"/>
      <c r="R502" s="1"/>
      <c r="S502" s="1"/>
      <c r="T502" s="1"/>
    </row>
    <row r="503" spans="1:20" ht="13.5">
      <c r="A503" s="1"/>
      <c r="B503" s="1"/>
      <c r="C503" s="1"/>
      <c r="D503" s="1"/>
      <c r="E503" s="1"/>
      <c r="F503" s="1"/>
      <c r="G503" s="1"/>
      <c r="H503" s="1"/>
      <c r="I503" s="1"/>
      <c r="J503" s="1"/>
      <c r="K503" s="1"/>
      <c r="L503" s="1"/>
      <c r="M503" s="1"/>
      <c r="N503" s="1"/>
      <c r="O503" s="1"/>
      <c r="P503" s="1"/>
      <c r="Q503" s="1"/>
      <c r="R503" s="1"/>
      <c r="S503" s="1"/>
      <c r="T503" s="1"/>
    </row>
    <row r="504" spans="1:20" ht="13.5">
      <c r="A504" s="1"/>
      <c r="B504" s="1"/>
      <c r="C504" s="1"/>
      <c r="D504" s="1"/>
      <c r="E504" s="1"/>
      <c r="F504" s="1"/>
      <c r="G504" s="1"/>
      <c r="H504" s="1"/>
      <c r="I504" s="1"/>
      <c r="J504" s="1"/>
      <c r="K504" s="1"/>
      <c r="L504" s="1"/>
      <c r="M504" s="1"/>
      <c r="N504" s="1"/>
      <c r="O504" s="1"/>
      <c r="P504" s="1"/>
      <c r="Q504" s="1"/>
      <c r="R504" s="1"/>
      <c r="S504" s="1"/>
      <c r="T504" s="1"/>
    </row>
    <row r="505" spans="1:20" ht="13.5">
      <c r="A505" s="1"/>
      <c r="B505" s="1"/>
      <c r="C505" s="1"/>
      <c r="D505" s="1"/>
      <c r="E505" s="1"/>
      <c r="F505" s="1"/>
      <c r="G505" s="1"/>
      <c r="H505" s="1"/>
      <c r="I505" s="1"/>
      <c r="J505" s="1"/>
      <c r="K505" s="1"/>
      <c r="L505" s="1"/>
      <c r="M505" s="1"/>
      <c r="N505" s="1"/>
      <c r="O505" s="1"/>
      <c r="P505" s="1"/>
      <c r="Q505" s="1"/>
      <c r="R505" s="1"/>
      <c r="S505" s="1"/>
      <c r="T505" s="1"/>
    </row>
    <row r="506" spans="1:20" ht="13.5">
      <c r="A506" s="1"/>
      <c r="B506" s="1"/>
      <c r="C506" s="1"/>
      <c r="D506" s="1"/>
      <c r="E506" s="1"/>
      <c r="F506" s="1"/>
      <c r="G506" s="1"/>
      <c r="H506" s="1"/>
      <c r="I506" s="1"/>
      <c r="J506" s="1"/>
      <c r="K506" s="1"/>
      <c r="L506" s="1"/>
      <c r="M506" s="1"/>
      <c r="N506" s="1"/>
      <c r="O506" s="1"/>
      <c r="P506" s="1"/>
      <c r="Q506" s="1"/>
      <c r="R506" s="1"/>
      <c r="S506" s="1"/>
      <c r="T506" s="1"/>
    </row>
    <row r="507" spans="1:20" ht="13.5">
      <c r="A507" s="1"/>
      <c r="B507" s="1"/>
      <c r="C507" s="1"/>
      <c r="D507" s="1"/>
      <c r="E507" s="1"/>
      <c r="F507" s="1"/>
      <c r="G507" s="1"/>
      <c r="H507" s="1"/>
      <c r="I507" s="1"/>
      <c r="J507" s="1"/>
      <c r="K507" s="1"/>
      <c r="L507" s="1"/>
      <c r="M507" s="1"/>
      <c r="N507" s="1"/>
      <c r="O507" s="1"/>
      <c r="P507" s="1"/>
      <c r="Q507" s="1"/>
      <c r="R507" s="1"/>
      <c r="S507" s="1"/>
      <c r="T507" s="1"/>
    </row>
    <row r="508" spans="1:20" ht="13.5">
      <c r="A508" s="1"/>
      <c r="B508" s="1"/>
      <c r="C508" s="1"/>
      <c r="D508" s="1"/>
      <c r="E508" s="1"/>
      <c r="F508" s="1"/>
      <c r="G508" s="1"/>
      <c r="H508" s="1"/>
      <c r="I508" s="1"/>
      <c r="J508" s="1"/>
      <c r="K508" s="1"/>
      <c r="L508" s="1"/>
      <c r="M508" s="1"/>
      <c r="N508" s="1"/>
      <c r="O508" s="1"/>
      <c r="P508" s="1"/>
      <c r="Q508" s="1"/>
      <c r="R508" s="1"/>
      <c r="S508" s="1"/>
      <c r="T508" s="1"/>
    </row>
    <row r="509" spans="1:20" ht="13.5">
      <c r="A509" s="1"/>
      <c r="B509" s="1"/>
      <c r="C509" s="1"/>
      <c r="D509" s="1"/>
      <c r="E509" s="1"/>
      <c r="F509" s="1"/>
      <c r="G509" s="1"/>
      <c r="H509" s="1"/>
      <c r="I509" s="1"/>
      <c r="J509" s="1"/>
      <c r="K509" s="1"/>
      <c r="L509" s="1"/>
      <c r="M509" s="1"/>
      <c r="N509" s="1"/>
      <c r="O509" s="1"/>
      <c r="P509" s="1"/>
      <c r="Q509" s="1"/>
      <c r="R509" s="1"/>
      <c r="S509" s="1"/>
      <c r="T509" s="1"/>
    </row>
    <row r="510" spans="1:20" ht="13.5">
      <c r="A510" s="1"/>
      <c r="B510" s="1"/>
      <c r="C510" s="1"/>
      <c r="D510" s="1"/>
      <c r="E510" s="1"/>
      <c r="F510" s="1"/>
      <c r="G510" s="1"/>
      <c r="H510" s="1"/>
      <c r="I510" s="1"/>
      <c r="J510" s="1"/>
      <c r="K510" s="1"/>
      <c r="L510" s="1"/>
      <c r="M510" s="1"/>
      <c r="N510" s="1"/>
      <c r="O510" s="1"/>
      <c r="P510" s="1"/>
      <c r="Q510" s="1"/>
      <c r="R510" s="1"/>
      <c r="S510" s="1"/>
      <c r="T510" s="1"/>
    </row>
    <row r="511" spans="1:20" ht="13.5">
      <c r="A511" s="1"/>
      <c r="B511" s="1"/>
      <c r="C511" s="1"/>
      <c r="D511" s="1"/>
      <c r="E511" s="1"/>
      <c r="F511" s="1"/>
      <c r="G511" s="1"/>
      <c r="H511" s="1"/>
      <c r="I511" s="1"/>
      <c r="J511" s="1"/>
      <c r="K511" s="1"/>
      <c r="L511" s="1"/>
      <c r="M511" s="1"/>
      <c r="N511" s="1"/>
      <c r="O511" s="1"/>
      <c r="P511" s="1"/>
      <c r="Q511" s="1"/>
      <c r="R511" s="1"/>
      <c r="S511" s="1"/>
      <c r="T511" s="1"/>
    </row>
    <row r="512" spans="1:20" ht="13.5">
      <c r="A512" s="1"/>
      <c r="B512" s="1"/>
      <c r="C512" s="1"/>
      <c r="D512" s="1"/>
      <c r="E512" s="1"/>
      <c r="F512" s="1"/>
      <c r="G512" s="1"/>
      <c r="H512" s="1"/>
      <c r="I512" s="1"/>
      <c r="J512" s="1"/>
      <c r="K512" s="1"/>
      <c r="L512" s="1"/>
      <c r="M512" s="1"/>
      <c r="N512" s="1"/>
      <c r="O512" s="1"/>
      <c r="P512" s="1"/>
      <c r="Q512" s="1"/>
      <c r="R512" s="1"/>
      <c r="S512" s="1"/>
      <c r="T512" s="1"/>
    </row>
    <row r="513" spans="1:20" ht="13.5">
      <c r="A513" s="1"/>
      <c r="B513" s="1"/>
      <c r="C513" s="1"/>
      <c r="D513" s="1"/>
      <c r="E513" s="1"/>
      <c r="F513" s="1"/>
      <c r="G513" s="1"/>
      <c r="H513" s="1"/>
      <c r="I513" s="1"/>
      <c r="J513" s="1"/>
      <c r="K513" s="1"/>
      <c r="L513" s="1"/>
      <c r="M513" s="1"/>
      <c r="N513" s="1"/>
      <c r="O513" s="1"/>
      <c r="P513" s="1"/>
      <c r="Q513" s="1"/>
      <c r="R513" s="1"/>
      <c r="S513" s="1"/>
      <c r="T513" s="1"/>
    </row>
    <row r="514" spans="1:20" ht="13.5">
      <c r="A514" s="1"/>
      <c r="B514" s="1"/>
      <c r="C514" s="1"/>
      <c r="D514" s="1"/>
      <c r="E514" s="1"/>
      <c r="F514" s="1"/>
      <c r="G514" s="1"/>
      <c r="H514" s="1"/>
      <c r="I514" s="1"/>
      <c r="J514" s="1"/>
      <c r="K514" s="1"/>
      <c r="L514" s="1"/>
      <c r="M514" s="1"/>
      <c r="N514" s="1"/>
      <c r="O514" s="1"/>
      <c r="P514" s="1"/>
      <c r="Q514" s="1"/>
      <c r="R514" s="1"/>
      <c r="S514" s="1"/>
      <c r="T514" s="1"/>
    </row>
    <row r="515" spans="1:20" ht="13.5">
      <c r="A515" s="1"/>
      <c r="B515" s="1"/>
      <c r="C515" s="1"/>
      <c r="D515" s="1"/>
      <c r="E515" s="1"/>
      <c r="F515" s="1"/>
      <c r="G515" s="1"/>
      <c r="H515" s="1"/>
      <c r="I515" s="1"/>
      <c r="J515" s="1"/>
      <c r="K515" s="1"/>
      <c r="L515" s="1"/>
      <c r="M515" s="1"/>
      <c r="N515" s="1"/>
      <c r="O515" s="1"/>
      <c r="P515" s="1"/>
      <c r="Q515" s="1"/>
      <c r="R515" s="1"/>
      <c r="S515" s="1"/>
      <c r="T515" s="1"/>
    </row>
    <row r="516" spans="1:20" ht="13.5">
      <c r="A516" s="1"/>
      <c r="B516" s="1"/>
      <c r="C516" s="1"/>
      <c r="D516" s="1"/>
      <c r="E516" s="1"/>
      <c r="F516" s="1"/>
      <c r="G516" s="1"/>
      <c r="H516" s="1"/>
      <c r="I516" s="1"/>
      <c r="J516" s="1"/>
      <c r="K516" s="1"/>
      <c r="L516" s="1"/>
      <c r="M516" s="1"/>
      <c r="N516" s="1"/>
      <c r="O516" s="1"/>
      <c r="P516" s="1"/>
      <c r="Q516" s="1"/>
      <c r="R516" s="1"/>
      <c r="S516" s="1"/>
      <c r="T516" s="1"/>
    </row>
    <row r="517" spans="1:20" ht="13.5">
      <c r="A517" s="1"/>
      <c r="B517" s="1"/>
      <c r="C517" s="1"/>
      <c r="D517" s="1"/>
      <c r="E517" s="1"/>
      <c r="F517" s="1"/>
      <c r="G517" s="1"/>
      <c r="H517" s="1"/>
      <c r="I517" s="1"/>
      <c r="J517" s="1"/>
      <c r="K517" s="1"/>
      <c r="L517" s="1"/>
      <c r="M517" s="1"/>
      <c r="N517" s="1"/>
      <c r="O517" s="1"/>
      <c r="P517" s="1"/>
      <c r="Q517" s="1"/>
      <c r="R517" s="1"/>
      <c r="S517" s="1"/>
      <c r="T517" s="1"/>
    </row>
    <row r="518" spans="1:20" ht="13.5">
      <c r="A518" s="1"/>
      <c r="B518" s="1"/>
      <c r="C518" s="1"/>
      <c r="D518" s="1"/>
      <c r="E518" s="1"/>
      <c r="F518" s="1"/>
      <c r="G518" s="1"/>
      <c r="H518" s="1"/>
      <c r="I518" s="1"/>
      <c r="J518" s="1"/>
      <c r="K518" s="1"/>
      <c r="L518" s="1"/>
      <c r="M518" s="1"/>
      <c r="N518" s="1"/>
      <c r="O518" s="1"/>
      <c r="P518" s="1"/>
      <c r="Q518" s="1"/>
      <c r="R518" s="1"/>
      <c r="S518" s="1"/>
      <c r="T518" s="1"/>
    </row>
    <row r="519" spans="1:20" ht="13.5">
      <c r="A519" s="1"/>
      <c r="B519" s="1"/>
      <c r="C519" s="1"/>
      <c r="D519" s="1"/>
      <c r="E519" s="1"/>
      <c r="F519" s="1"/>
      <c r="G519" s="1"/>
      <c r="H519" s="1"/>
      <c r="I519" s="1"/>
      <c r="J519" s="1"/>
      <c r="K519" s="1"/>
      <c r="L519" s="1"/>
      <c r="M519" s="1"/>
      <c r="N519" s="1"/>
      <c r="O519" s="1"/>
      <c r="P519" s="1"/>
      <c r="Q519" s="1"/>
      <c r="R519" s="1"/>
      <c r="S519" s="1"/>
      <c r="T519" s="1"/>
    </row>
    <row r="520" spans="1:20" ht="13.5">
      <c r="A520" s="1"/>
      <c r="B520" s="1"/>
      <c r="C520" s="1"/>
      <c r="D520" s="1"/>
      <c r="E520" s="1"/>
      <c r="F520" s="1"/>
      <c r="G520" s="1"/>
      <c r="H520" s="1"/>
      <c r="I520" s="1"/>
      <c r="J520" s="1"/>
      <c r="K520" s="1"/>
      <c r="L520" s="1"/>
      <c r="M520" s="1"/>
      <c r="N520" s="1"/>
      <c r="O520" s="1"/>
      <c r="P520" s="1"/>
      <c r="Q520" s="1"/>
      <c r="R520" s="1"/>
      <c r="S520" s="1"/>
      <c r="T520" s="1"/>
    </row>
    <row r="521" spans="1:20" ht="13.5">
      <c r="A521" s="1"/>
      <c r="B521" s="1"/>
      <c r="C521" s="1"/>
      <c r="D521" s="1"/>
      <c r="E521" s="1"/>
      <c r="F521" s="1"/>
      <c r="G521" s="1"/>
      <c r="H521" s="1"/>
      <c r="I521" s="1"/>
      <c r="J521" s="1"/>
      <c r="K521" s="1"/>
      <c r="L521" s="1"/>
      <c r="M521" s="1"/>
      <c r="N521" s="1"/>
      <c r="O521" s="1"/>
      <c r="P521" s="1"/>
      <c r="Q521" s="1"/>
      <c r="R521" s="1"/>
      <c r="S521" s="1"/>
      <c r="T521" s="1"/>
    </row>
    <row r="522" spans="1:20" ht="13.5">
      <c r="A522" s="1"/>
      <c r="B522" s="1"/>
      <c r="C522" s="1"/>
      <c r="D522" s="1"/>
      <c r="E522" s="1"/>
      <c r="F522" s="1"/>
      <c r="G522" s="1"/>
      <c r="H522" s="1"/>
      <c r="I522" s="1"/>
      <c r="J522" s="1"/>
      <c r="K522" s="1"/>
      <c r="L522" s="1"/>
      <c r="M522" s="1"/>
      <c r="N522" s="1"/>
      <c r="O522" s="1"/>
      <c r="P522" s="1"/>
      <c r="Q522" s="1"/>
      <c r="R522" s="1"/>
      <c r="S522" s="1"/>
      <c r="T522" s="1"/>
    </row>
    <row r="523" spans="1:20" ht="13.5">
      <c r="A523" s="1"/>
      <c r="B523" s="1"/>
      <c r="C523" s="1"/>
      <c r="D523" s="1"/>
      <c r="E523" s="1"/>
      <c r="F523" s="1"/>
      <c r="G523" s="1"/>
      <c r="H523" s="1"/>
      <c r="I523" s="1"/>
      <c r="J523" s="1"/>
      <c r="K523" s="1"/>
      <c r="L523" s="1"/>
      <c r="M523" s="1"/>
      <c r="N523" s="1"/>
      <c r="O523" s="1"/>
      <c r="P523" s="1"/>
      <c r="Q523" s="1"/>
      <c r="R523" s="1"/>
      <c r="S523" s="1"/>
      <c r="T523" s="1"/>
    </row>
    <row r="524" spans="1:20" ht="13.5">
      <c r="A524" s="1"/>
      <c r="B524" s="1"/>
      <c r="C524" s="1"/>
      <c r="D524" s="1"/>
      <c r="E524" s="1"/>
      <c r="F524" s="1"/>
      <c r="G524" s="1"/>
      <c r="H524" s="1"/>
      <c r="I524" s="1"/>
      <c r="J524" s="1"/>
      <c r="K524" s="1"/>
      <c r="L524" s="1"/>
      <c r="M524" s="1"/>
      <c r="N524" s="1"/>
      <c r="O524" s="1"/>
      <c r="P524" s="1"/>
      <c r="Q524" s="1"/>
      <c r="R524" s="1"/>
      <c r="S524" s="1"/>
      <c r="T524" s="1"/>
    </row>
    <row r="525" spans="1:20" ht="13.5">
      <c r="A525" s="1"/>
      <c r="B525" s="1"/>
      <c r="C525" s="1"/>
      <c r="D525" s="1"/>
      <c r="E525" s="1"/>
      <c r="F525" s="1"/>
      <c r="G525" s="1"/>
      <c r="H525" s="1"/>
      <c r="I525" s="1"/>
      <c r="J525" s="1"/>
      <c r="K525" s="1"/>
      <c r="L525" s="1"/>
      <c r="M525" s="1"/>
      <c r="N525" s="1"/>
      <c r="O525" s="1"/>
      <c r="P525" s="1"/>
      <c r="Q525" s="1"/>
      <c r="R525" s="1"/>
      <c r="S525" s="1"/>
      <c r="T525" s="1"/>
    </row>
    <row r="526" spans="1:20" ht="13.5">
      <c r="A526" s="1"/>
      <c r="B526" s="1"/>
      <c r="C526" s="1"/>
      <c r="D526" s="1"/>
      <c r="E526" s="1"/>
      <c r="F526" s="1"/>
      <c r="G526" s="1"/>
      <c r="H526" s="1"/>
      <c r="I526" s="1"/>
      <c r="J526" s="1"/>
      <c r="K526" s="1"/>
      <c r="L526" s="1"/>
      <c r="M526" s="1"/>
      <c r="N526" s="1"/>
      <c r="O526" s="1"/>
      <c r="P526" s="1"/>
      <c r="Q526" s="1"/>
      <c r="R526" s="1"/>
      <c r="S526" s="1"/>
      <c r="T526" s="1"/>
    </row>
    <row r="527" spans="1:20" ht="13.5">
      <c r="A527" s="1"/>
      <c r="B527" s="1"/>
      <c r="C527" s="1"/>
      <c r="D527" s="1"/>
      <c r="E527" s="1"/>
      <c r="F527" s="1"/>
      <c r="G527" s="1"/>
      <c r="H527" s="1"/>
      <c r="I527" s="1"/>
      <c r="J527" s="1"/>
      <c r="K527" s="1"/>
      <c r="L527" s="1"/>
      <c r="M527" s="1"/>
      <c r="N527" s="1"/>
      <c r="O527" s="1"/>
      <c r="P527" s="1"/>
      <c r="Q527" s="1"/>
      <c r="R527" s="1"/>
      <c r="S527" s="1"/>
      <c r="T527" s="1"/>
    </row>
    <row r="528" spans="1:20" ht="13.5">
      <c r="A528" s="1"/>
      <c r="B528" s="1"/>
      <c r="C528" s="1"/>
      <c r="D528" s="1"/>
      <c r="E528" s="1"/>
      <c r="F528" s="1"/>
      <c r="G528" s="1"/>
      <c r="H528" s="1"/>
      <c r="I528" s="1"/>
      <c r="J528" s="1"/>
      <c r="K528" s="1"/>
      <c r="L528" s="1"/>
      <c r="M528" s="1"/>
      <c r="N528" s="1"/>
      <c r="O528" s="1"/>
      <c r="P528" s="1"/>
      <c r="Q528" s="1"/>
      <c r="R528" s="1"/>
      <c r="S528" s="1"/>
      <c r="T528" s="1"/>
    </row>
    <row r="529" spans="1:20" ht="13.5">
      <c r="A529" s="1"/>
      <c r="B529" s="1"/>
      <c r="C529" s="1"/>
      <c r="D529" s="1"/>
      <c r="E529" s="1"/>
      <c r="F529" s="1"/>
      <c r="G529" s="1"/>
      <c r="H529" s="1"/>
      <c r="I529" s="1"/>
      <c r="J529" s="1"/>
      <c r="K529" s="1"/>
      <c r="L529" s="1"/>
      <c r="M529" s="1"/>
      <c r="N529" s="1"/>
      <c r="O529" s="1"/>
      <c r="P529" s="1"/>
      <c r="Q529" s="1"/>
      <c r="R529" s="1"/>
      <c r="S529" s="1"/>
      <c r="T529" s="1"/>
    </row>
    <row r="530" spans="1:20" ht="13.5">
      <c r="A530" s="1"/>
      <c r="B530" s="1"/>
      <c r="C530" s="1"/>
      <c r="D530" s="1"/>
      <c r="E530" s="1"/>
      <c r="F530" s="1"/>
      <c r="G530" s="1"/>
      <c r="H530" s="1"/>
      <c r="I530" s="1"/>
      <c r="J530" s="1"/>
      <c r="K530" s="1"/>
      <c r="L530" s="1"/>
      <c r="M530" s="1"/>
      <c r="N530" s="1"/>
      <c r="O530" s="1"/>
      <c r="P530" s="1"/>
      <c r="Q530" s="1"/>
      <c r="R530" s="1"/>
      <c r="S530" s="1"/>
      <c r="T530" s="1"/>
    </row>
    <row r="531" spans="1:20" ht="13.5">
      <c r="A531" s="1"/>
      <c r="B531" s="1"/>
      <c r="C531" s="1"/>
      <c r="D531" s="1"/>
      <c r="E531" s="1"/>
      <c r="F531" s="1"/>
      <c r="G531" s="1"/>
      <c r="H531" s="1"/>
      <c r="I531" s="1"/>
      <c r="J531" s="1"/>
      <c r="K531" s="1"/>
      <c r="L531" s="1"/>
      <c r="M531" s="1"/>
      <c r="N531" s="1"/>
      <c r="O531" s="1"/>
      <c r="P531" s="1"/>
      <c r="Q531" s="1"/>
      <c r="R531" s="1"/>
      <c r="S531" s="1"/>
      <c r="T531" s="1"/>
    </row>
    <row r="532" spans="1:20" ht="13.5">
      <c r="A532" s="1"/>
      <c r="B532" s="1"/>
      <c r="C532" s="1"/>
      <c r="D532" s="1"/>
      <c r="E532" s="1"/>
      <c r="F532" s="1"/>
      <c r="G532" s="1"/>
      <c r="H532" s="1"/>
      <c r="I532" s="1"/>
      <c r="J532" s="1"/>
      <c r="K532" s="1"/>
      <c r="L532" s="1"/>
      <c r="M532" s="1"/>
      <c r="N532" s="1"/>
      <c r="O532" s="1"/>
      <c r="P532" s="1"/>
      <c r="Q532" s="1"/>
      <c r="R532" s="1"/>
      <c r="S532" s="1"/>
      <c r="T532" s="1"/>
    </row>
    <row r="533" spans="1:20" ht="13.5">
      <c r="A533" s="1"/>
      <c r="B533" s="1"/>
      <c r="C533" s="1"/>
      <c r="D533" s="1"/>
      <c r="E533" s="1"/>
      <c r="F533" s="1"/>
      <c r="G533" s="1"/>
      <c r="H533" s="1"/>
      <c r="I533" s="1"/>
      <c r="J533" s="1"/>
      <c r="K533" s="1"/>
      <c r="L533" s="1"/>
      <c r="M533" s="1"/>
      <c r="N533" s="1"/>
      <c r="O533" s="1"/>
      <c r="P533" s="1"/>
      <c r="Q533" s="1"/>
      <c r="R533" s="1"/>
      <c r="S533" s="1"/>
      <c r="T533" s="1"/>
    </row>
    <row r="534" spans="1:20" ht="13.5">
      <c r="A534" s="1"/>
      <c r="B534" s="1"/>
      <c r="C534" s="1"/>
      <c r="D534" s="1"/>
      <c r="E534" s="1"/>
      <c r="F534" s="1"/>
      <c r="G534" s="1"/>
      <c r="H534" s="1"/>
      <c r="I534" s="1"/>
      <c r="J534" s="1"/>
      <c r="K534" s="1"/>
      <c r="L534" s="1"/>
      <c r="M534" s="1"/>
      <c r="N534" s="1"/>
      <c r="O534" s="1"/>
      <c r="P534" s="1"/>
      <c r="Q534" s="1"/>
      <c r="R534" s="1"/>
      <c r="S534" s="1"/>
      <c r="T534" s="1"/>
    </row>
    <row r="535" spans="1:20" ht="13.5">
      <c r="A535" s="1"/>
      <c r="B535" s="1"/>
      <c r="C535" s="1"/>
      <c r="D535" s="1"/>
      <c r="E535" s="1"/>
      <c r="F535" s="1"/>
      <c r="G535" s="1"/>
      <c r="H535" s="1"/>
      <c r="I535" s="1"/>
      <c r="J535" s="1"/>
      <c r="K535" s="1"/>
      <c r="L535" s="1"/>
      <c r="M535" s="1"/>
      <c r="N535" s="1"/>
      <c r="O535" s="1"/>
      <c r="P535" s="1"/>
      <c r="Q535" s="1"/>
      <c r="R535" s="1"/>
      <c r="S535" s="1"/>
      <c r="T535" s="1"/>
    </row>
    <row r="536" spans="1:20" ht="13.5">
      <c r="A536" s="1"/>
      <c r="B536" s="1"/>
      <c r="C536" s="1"/>
      <c r="D536" s="1"/>
      <c r="E536" s="1"/>
      <c r="F536" s="1"/>
      <c r="G536" s="1"/>
      <c r="H536" s="1"/>
      <c r="I536" s="1"/>
      <c r="J536" s="1"/>
      <c r="K536" s="1"/>
      <c r="L536" s="1"/>
      <c r="M536" s="1"/>
      <c r="N536" s="1"/>
      <c r="O536" s="1"/>
      <c r="P536" s="1"/>
      <c r="Q536" s="1"/>
      <c r="R536" s="1"/>
      <c r="S536" s="1"/>
      <c r="T536" s="1"/>
    </row>
    <row r="537" spans="1:20" ht="13.5">
      <c r="A537" s="1"/>
      <c r="B537" s="1"/>
      <c r="C537" s="1"/>
      <c r="D537" s="1"/>
      <c r="E537" s="1"/>
      <c r="F537" s="1"/>
      <c r="G537" s="1"/>
      <c r="H537" s="1"/>
      <c r="I537" s="1"/>
      <c r="J537" s="1"/>
      <c r="K537" s="1"/>
      <c r="L537" s="1"/>
      <c r="M537" s="1"/>
      <c r="N537" s="1"/>
      <c r="O537" s="1"/>
      <c r="P537" s="1"/>
      <c r="Q537" s="1"/>
      <c r="R537" s="1"/>
      <c r="S537" s="1"/>
      <c r="T537" s="1"/>
    </row>
    <row r="538" spans="1:20" ht="13.5">
      <c r="A538" s="1"/>
      <c r="B538" s="1"/>
      <c r="C538" s="1"/>
      <c r="D538" s="1"/>
      <c r="E538" s="1"/>
      <c r="F538" s="1"/>
      <c r="G538" s="1"/>
      <c r="H538" s="1"/>
      <c r="I538" s="1"/>
      <c r="J538" s="1"/>
      <c r="K538" s="1"/>
      <c r="L538" s="1"/>
      <c r="M538" s="1"/>
      <c r="N538" s="1"/>
      <c r="O538" s="1"/>
      <c r="P538" s="1"/>
      <c r="Q538" s="1"/>
      <c r="R538" s="1"/>
      <c r="S538" s="1"/>
      <c r="T538" s="1"/>
    </row>
    <row r="539" spans="1:20" ht="13.5">
      <c r="A539" s="1"/>
      <c r="B539" s="1"/>
      <c r="C539" s="1"/>
      <c r="D539" s="1"/>
      <c r="E539" s="1"/>
      <c r="F539" s="1"/>
      <c r="G539" s="1"/>
      <c r="H539" s="1"/>
      <c r="I539" s="1"/>
      <c r="J539" s="1"/>
      <c r="K539" s="1"/>
      <c r="L539" s="1"/>
      <c r="M539" s="1"/>
      <c r="N539" s="1"/>
      <c r="O539" s="1"/>
      <c r="P539" s="1"/>
      <c r="Q539" s="1"/>
      <c r="R539" s="1"/>
      <c r="S539" s="1"/>
      <c r="T539" s="1"/>
    </row>
    <row r="540" spans="1:20" ht="13.5">
      <c r="A540" s="1"/>
      <c r="B540" s="1"/>
      <c r="C540" s="1"/>
      <c r="D540" s="1"/>
      <c r="E540" s="1"/>
      <c r="F540" s="1"/>
      <c r="G540" s="1"/>
      <c r="H540" s="1"/>
      <c r="I540" s="1"/>
      <c r="J540" s="1"/>
      <c r="K540" s="1"/>
      <c r="L540" s="1"/>
      <c r="M540" s="1"/>
      <c r="N540" s="1"/>
      <c r="O540" s="1"/>
      <c r="P540" s="1"/>
      <c r="Q540" s="1"/>
      <c r="R540" s="1"/>
      <c r="S540" s="1"/>
      <c r="T540" s="1"/>
    </row>
    <row r="541" spans="1:20" ht="13.5">
      <c r="A541" s="1"/>
      <c r="B541" s="1"/>
      <c r="C541" s="1"/>
      <c r="D541" s="1"/>
      <c r="E541" s="1"/>
      <c r="F541" s="1"/>
      <c r="G541" s="1"/>
      <c r="H541" s="1"/>
      <c r="I541" s="1"/>
      <c r="J541" s="1"/>
      <c r="K541" s="1"/>
      <c r="L541" s="1"/>
      <c r="M541" s="1"/>
      <c r="N541" s="1"/>
      <c r="O541" s="1"/>
      <c r="P541" s="1"/>
      <c r="Q541" s="1"/>
      <c r="R541" s="1"/>
      <c r="S541" s="1"/>
      <c r="T541" s="1"/>
    </row>
    <row r="542" spans="1:20" ht="13.5">
      <c r="A542" s="1"/>
      <c r="B542" s="1"/>
      <c r="C542" s="1"/>
      <c r="D542" s="1"/>
      <c r="E542" s="1"/>
      <c r="F542" s="1"/>
      <c r="G542" s="1"/>
      <c r="H542" s="1"/>
      <c r="I542" s="1"/>
      <c r="J542" s="1"/>
      <c r="K542" s="1"/>
      <c r="L542" s="1"/>
      <c r="M542" s="1"/>
      <c r="N542" s="1"/>
      <c r="O542" s="1"/>
      <c r="P542" s="1"/>
      <c r="Q542" s="1"/>
      <c r="R542" s="1"/>
      <c r="S542" s="1"/>
      <c r="T542" s="1"/>
    </row>
    <row r="543" spans="1:20" ht="13.5">
      <c r="A543" s="1"/>
      <c r="B543" s="1"/>
      <c r="C543" s="1"/>
      <c r="D543" s="1"/>
      <c r="E543" s="1"/>
      <c r="F543" s="1"/>
      <c r="G543" s="1"/>
      <c r="H543" s="1"/>
      <c r="I543" s="1"/>
      <c r="J543" s="1"/>
      <c r="K543" s="1"/>
      <c r="L543" s="1"/>
      <c r="M543" s="1"/>
      <c r="N543" s="1"/>
      <c r="O543" s="1"/>
      <c r="P543" s="1"/>
      <c r="Q543" s="1"/>
      <c r="R543" s="1"/>
      <c r="S543" s="1"/>
      <c r="T543" s="1"/>
    </row>
    <row r="544" spans="1:20" ht="13.5">
      <c r="A544" s="1"/>
      <c r="B544" s="1"/>
      <c r="C544" s="1"/>
      <c r="D544" s="1"/>
      <c r="E544" s="1"/>
      <c r="F544" s="1"/>
      <c r="G544" s="1"/>
      <c r="H544" s="1"/>
      <c r="I544" s="1"/>
      <c r="J544" s="1"/>
      <c r="K544" s="1"/>
      <c r="L544" s="1"/>
      <c r="M544" s="1"/>
      <c r="N544" s="1"/>
      <c r="O544" s="1"/>
      <c r="P544" s="1"/>
      <c r="Q544" s="1"/>
      <c r="R544" s="1"/>
      <c r="S544" s="1"/>
      <c r="T544" s="1"/>
    </row>
    <row r="545" spans="1:20" ht="13.5">
      <c r="A545" s="1"/>
      <c r="B545" s="1"/>
      <c r="C545" s="1"/>
      <c r="D545" s="1"/>
      <c r="E545" s="1"/>
      <c r="F545" s="1"/>
      <c r="G545" s="1"/>
      <c r="H545" s="1"/>
      <c r="I545" s="1"/>
      <c r="J545" s="1"/>
      <c r="K545" s="1"/>
      <c r="L545" s="1"/>
      <c r="M545" s="1"/>
      <c r="N545" s="1"/>
      <c r="O545" s="1"/>
      <c r="P545" s="1"/>
      <c r="Q545" s="1"/>
      <c r="R545" s="1"/>
      <c r="S545" s="1"/>
      <c r="T545" s="1"/>
    </row>
    <row r="546" spans="1:20" ht="13.5">
      <c r="A546" s="1"/>
      <c r="B546" s="1"/>
      <c r="C546" s="1"/>
      <c r="D546" s="1"/>
      <c r="E546" s="1"/>
      <c r="F546" s="1"/>
      <c r="G546" s="1"/>
      <c r="H546" s="1"/>
      <c r="I546" s="1"/>
      <c r="J546" s="1"/>
      <c r="K546" s="1"/>
      <c r="L546" s="1"/>
      <c r="M546" s="1"/>
      <c r="N546" s="1"/>
      <c r="O546" s="1"/>
      <c r="P546" s="1"/>
      <c r="Q546" s="1"/>
      <c r="R546" s="1"/>
      <c r="S546" s="1"/>
      <c r="T546" s="1"/>
    </row>
    <row r="547" spans="1:20" ht="13.5">
      <c r="A547" s="1"/>
      <c r="B547" s="1"/>
      <c r="C547" s="1"/>
      <c r="D547" s="1"/>
      <c r="E547" s="1"/>
      <c r="F547" s="1"/>
      <c r="G547" s="1"/>
      <c r="H547" s="1"/>
      <c r="I547" s="1"/>
      <c r="J547" s="1"/>
      <c r="K547" s="1"/>
      <c r="L547" s="1"/>
      <c r="M547" s="1"/>
      <c r="N547" s="1"/>
      <c r="O547" s="1"/>
      <c r="P547" s="1"/>
      <c r="Q547" s="1"/>
      <c r="R547" s="1"/>
      <c r="S547" s="1"/>
      <c r="T547" s="1"/>
    </row>
    <row r="548" spans="1:20" ht="13.5">
      <c r="A548" s="1"/>
      <c r="B548" s="1"/>
      <c r="C548" s="1"/>
      <c r="D548" s="1"/>
      <c r="E548" s="1"/>
      <c r="F548" s="1"/>
      <c r="G548" s="1"/>
      <c r="H548" s="1"/>
      <c r="I548" s="1"/>
      <c r="J548" s="1"/>
      <c r="K548" s="1"/>
      <c r="L548" s="1"/>
      <c r="M548" s="1"/>
      <c r="N548" s="1"/>
      <c r="O548" s="1"/>
      <c r="P548" s="1"/>
      <c r="Q548" s="1"/>
      <c r="R548" s="1"/>
      <c r="S548" s="1"/>
      <c r="T548" s="1"/>
    </row>
    <row r="549" spans="1:20" ht="13.5">
      <c r="A549" s="1"/>
      <c r="B549" s="1"/>
      <c r="C549" s="1"/>
      <c r="D549" s="1"/>
      <c r="E549" s="1"/>
      <c r="F549" s="1"/>
      <c r="G549" s="1"/>
      <c r="H549" s="1"/>
      <c r="I549" s="1"/>
      <c r="J549" s="1"/>
      <c r="K549" s="1"/>
      <c r="L549" s="1"/>
      <c r="M549" s="1"/>
      <c r="N549" s="1"/>
      <c r="O549" s="1"/>
      <c r="P549" s="1"/>
      <c r="Q549" s="1"/>
      <c r="R549" s="1"/>
      <c r="S549" s="1"/>
      <c r="T549" s="1"/>
    </row>
    <row r="550" spans="1:20" ht="13.5">
      <c r="A550" s="1"/>
      <c r="B550" s="1"/>
      <c r="C550" s="1"/>
      <c r="D550" s="1"/>
      <c r="E550" s="1"/>
      <c r="F550" s="1"/>
      <c r="G550" s="1"/>
      <c r="H550" s="1"/>
      <c r="I550" s="1"/>
      <c r="J550" s="1"/>
      <c r="K550" s="1"/>
      <c r="L550" s="1"/>
      <c r="M550" s="1"/>
      <c r="N550" s="1"/>
      <c r="O550" s="1"/>
      <c r="P550" s="1"/>
      <c r="Q550" s="1"/>
      <c r="R550" s="1"/>
      <c r="S550" s="1"/>
      <c r="T550" s="1"/>
    </row>
    <row r="551" spans="1:20" ht="13.5">
      <c r="A551" s="1"/>
      <c r="B551" s="1"/>
      <c r="C551" s="1"/>
      <c r="D551" s="1"/>
      <c r="E551" s="1"/>
      <c r="F551" s="1"/>
      <c r="G551" s="1"/>
      <c r="H551" s="1"/>
      <c r="I551" s="1"/>
      <c r="J551" s="1"/>
      <c r="K551" s="1"/>
      <c r="L551" s="1"/>
      <c r="M551" s="1"/>
      <c r="N551" s="1"/>
      <c r="O551" s="1"/>
      <c r="P551" s="1"/>
      <c r="Q551" s="1"/>
      <c r="R551" s="1"/>
      <c r="S551" s="1"/>
      <c r="T551" s="1"/>
    </row>
    <row r="552" spans="1:20" ht="13.5">
      <c r="A552" s="1"/>
      <c r="B552" s="1"/>
      <c r="C552" s="1"/>
      <c r="D552" s="1"/>
      <c r="E552" s="1"/>
      <c r="F552" s="1"/>
      <c r="G552" s="1"/>
      <c r="H552" s="1"/>
      <c r="I552" s="1"/>
      <c r="J552" s="1"/>
      <c r="K552" s="1"/>
      <c r="L552" s="1"/>
      <c r="M552" s="1"/>
      <c r="N552" s="1"/>
      <c r="O552" s="1"/>
      <c r="P552" s="1"/>
      <c r="Q552" s="1"/>
      <c r="R552" s="1"/>
      <c r="S552" s="1"/>
      <c r="T552" s="1"/>
    </row>
    <row r="553" spans="1:20" ht="13.5">
      <c r="A553" s="1"/>
      <c r="B553" s="1"/>
      <c r="C553" s="1"/>
      <c r="D553" s="1"/>
      <c r="E553" s="1"/>
      <c r="F553" s="1"/>
      <c r="G553" s="1"/>
      <c r="H553" s="1"/>
      <c r="I553" s="1"/>
      <c r="J553" s="1"/>
      <c r="K553" s="1"/>
      <c r="L553" s="1"/>
      <c r="M553" s="1"/>
      <c r="N553" s="1"/>
      <c r="O553" s="1"/>
      <c r="P553" s="1"/>
      <c r="Q553" s="1"/>
      <c r="R553" s="1"/>
      <c r="S553" s="1"/>
      <c r="T553" s="1"/>
    </row>
    <row r="554" spans="1:20" ht="13.5">
      <c r="A554" s="1"/>
      <c r="B554" s="1"/>
      <c r="C554" s="1"/>
      <c r="D554" s="1"/>
      <c r="E554" s="1"/>
      <c r="F554" s="1"/>
      <c r="G554" s="1"/>
      <c r="H554" s="1"/>
      <c r="I554" s="1"/>
      <c r="J554" s="1"/>
      <c r="K554" s="1"/>
      <c r="L554" s="1"/>
      <c r="M554" s="1"/>
      <c r="N554" s="1"/>
      <c r="O554" s="1"/>
      <c r="P554" s="1"/>
      <c r="Q554" s="1"/>
      <c r="R554" s="1"/>
      <c r="S554" s="1"/>
      <c r="T554" s="1"/>
    </row>
    <row r="555" spans="1:20" ht="13.5">
      <c r="A555" s="1"/>
      <c r="B555" s="1"/>
      <c r="C555" s="1"/>
      <c r="D555" s="1"/>
      <c r="E555" s="1"/>
      <c r="F555" s="1"/>
      <c r="G555" s="1"/>
      <c r="H555" s="1"/>
      <c r="I555" s="1"/>
      <c r="J555" s="1"/>
      <c r="K555" s="1"/>
      <c r="L555" s="1"/>
      <c r="M555" s="1"/>
      <c r="N555" s="1"/>
      <c r="O555" s="1"/>
      <c r="P555" s="1"/>
      <c r="Q555" s="1"/>
      <c r="R555" s="1"/>
      <c r="S555" s="1"/>
      <c r="T555" s="1"/>
    </row>
    <row r="556" spans="1:20" ht="13.5">
      <c r="A556" s="1"/>
      <c r="B556" s="1"/>
      <c r="C556" s="1"/>
      <c r="D556" s="1"/>
      <c r="E556" s="1"/>
      <c r="F556" s="1"/>
      <c r="G556" s="1"/>
      <c r="H556" s="1"/>
      <c r="I556" s="1"/>
      <c r="J556" s="1"/>
      <c r="K556" s="1"/>
      <c r="L556" s="1"/>
      <c r="M556" s="1"/>
      <c r="N556" s="1"/>
      <c r="O556" s="1"/>
      <c r="P556" s="1"/>
      <c r="Q556" s="1"/>
      <c r="R556" s="1"/>
      <c r="S556" s="1"/>
      <c r="T556" s="1"/>
    </row>
    <row r="557" spans="1:20" ht="13.5">
      <c r="A557" s="1"/>
      <c r="B557" s="1"/>
      <c r="C557" s="1"/>
      <c r="D557" s="1"/>
      <c r="E557" s="1"/>
      <c r="F557" s="1"/>
      <c r="G557" s="1"/>
      <c r="H557" s="1"/>
      <c r="I557" s="1"/>
      <c r="J557" s="1"/>
      <c r="K557" s="1"/>
      <c r="L557" s="1"/>
      <c r="M557" s="1"/>
      <c r="N557" s="1"/>
      <c r="O557" s="1"/>
      <c r="P557" s="1"/>
      <c r="Q557" s="1"/>
      <c r="R557" s="1"/>
      <c r="S557" s="1"/>
      <c r="T557" s="1"/>
    </row>
    <row r="558" spans="1:20" ht="13.5">
      <c r="A558" s="1"/>
      <c r="B558" s="1"/>
      <c r="C558" s="1"/>
      <c r="D558" s="1"/>
      <c r="E558" s="1"/>
      <c r="F558" s="1"/>
      <c r="G558" s="1"/>
      <c r="H558" s="1"/>
      <c r="I558" s="1"/>
      <c r="J558" s="1"/>
      <c r="K558" s="1"/>
      <c r="L558" s="1"/>
      <c r="M558" s="1"/>
      <c r="N558" s="1"/>
      <c r="O558" s="1"/>
      <c r="P558" s="1"/>
      <c r="Q558" s="1"/>
      <c r="R558" s="1"/>
      <c r="S558" s="1"/>
      <c r="T558" s="1"/>
    </row>
    <row r="559" spans="1:20" ht="13.5">
      <c r="A559" s="1"/>
      <c r="B559" s="1"/>
      <c r="C559" s="1"/>
      <c r="D559" s="1"/>
      <c r="E559" s="1"/>
      <c r="F559" s="1"/>
      <c r="G559" s="1"/>
      <c r="H559" s="1"/>
      <c r="I559" s="1"/>
      <c r="J559" s="1"/>
      <c r="K559" s="1"/>
      <c r="L559" s="1"/>
      <c r="M559" s="1"/>
      <c r="N559" s="1"/>
      <c r="O559" s="1"/>
      <c r="P559" s="1"/>
      <c r="Q559" s="1"/>
      <c r="R559" s="1"/>
      <c r="S559" s="1"/>
      <c r="T559" s="1"/>
    </row>
    <row r="560" spans="1:20" ht="13.5">
      <c r="A560" s="1"/>
      <c r="B560" s="1"/>
      <c r="C560" s="1"/>
      <c r="D560" s="1"/>
      <c r="E560" s="1"/>
      <c r="F560" s="1"/>
      <c r="G560" s="1"/>
      <c r="H560" s="1"/>
      <c r="I560" s="1"/>
      <c r="J560" s="1"/>
      <c r="K560" s="1"/>
      <c r="L560" s="1"/>
      <c r="M560" s="1"/>
      <c r="N560" s="1"/>
      <c r="O560" s="1"/>
      <c r="P560" s="1"/>
      <c r="Q560" s="1"/>
      <c r="R560" s="1"/>
      <c r="S560" s="1"/>
      <c r="T560" s="1"/>
    </row>
    <row r="561" spans="1:20" ht="13.5">
      <c r="A561" s="1"/>
      <c r="B561" s="1"/>
      <c r="C561" s="1"/>
      <c r="D561" s="1"/>
      <c r="E561" s="1"/>
      <c r="F561" s="1"/>
      <c r="G561" s="1"/>
      <c r="H561" s="1"/>
      <c r="I561" s="1"/>
      <c r="J561" s="1"/>
      <c r="K561" s="1"/>
      <c r="L561" s="1"/>
      <c r="M561" s="1"/>
      <c r="N561" s="1"/>
      <c r="O561" s="1"/>
      <c r="P561" s="1"/>
      <c r="Q561" s="1"/>
      <c r="R561" s="1"/>
      <c r="S561" s="1"/>
      <c r="T561" s="1"/>
    </row>
    <row r="562" spans="1:20" ht="13.5">
      <c r="A562" s="1"/>
      <c r="B562" s="1"/>
      <c r="C562" s="1"/>
      <c r="D562" s="1"/>
      <c r="E562" s="1"/>
      <c r="F562" s="1"/>
      <c r="G562" s="1"/>
      <c r="H562" s="1"/>
      <c r="I562" s="1"/>
      <c r="J562" s="1"/>
      <c r="K562" s="1"/>
      <c r="L562" s="1"/>
      <c r="M562" s="1"/>
      <c r="N562" s="1"/>
      <c r="O562" s="1"/>
      <c r="P562" s="1"/>
      <c r="Q562" s="1"/>
      <c r="R562" s="1"/>
      <c r="S562" s="1"/>
      <c r="T562" s="1"/>
    </row>
    <row r="563" spans="1:20" ht="13.5">
      <c r="A563" s="1"/>
      <c r="B563" s="1"/>
      <c r="C563" s="1"/>
      <c r="D563" s="1"/>
      <c r="E563" s="1"/>
      <c r="F563" s="1"/>
      <c r="G563" s="1"/>
      <c r="H563" s="1"/>
      <c r="I563" s="1"/>
      <c r="J563" s="1"/>
      <c r="K563" s="1"/>
      <c r="L563" s="1"/>
      <c r="M563" s="1"/>
      <c r="N563" s="1"/>
      <c r="O563" s="1"/>
      <c r="P563" s="1"/>
      <c r="Q563" s="1"/>
      <c r="R563" s="1"/>
      <c r="S563" s="1"/>
      <c r="T563" s="1"/>
    </row>
    <row r="564" spans="1:20" ht="13.5">
      <c r="A564" s="1"/>
      <c r="B564" s="1"/>
      <c r="C564" s="1"/>
      <c r="D564" s="1"/>
      <c r="E564" s="1"/>
      <c r="F564" s="1"/>
      <c r="G564" s="1"/>
      <c r="H564" s="1"/>
      <c r="I564" s="1"/>
      <c r="J564" s="1"/>
      <c r="K564" s="1"/>
      <c r="L564" s="1"/>
      <c r="M564" s="1"/>
      <c r="N564" s="1"/>
      <c r="O564" s="1"/>
      <c r="P564" s="1"/>
      <c r="Q564" s="1"/>
      <c r="R564" s="1"/>
      <c r="S564" s="1"/>
      <c r="T564" s="1"/>
    </row>
    <row r="565" spans="1:20" ht="13.5">
      <c r="A565" s="1"/>
      <c r="B565" s="1"/>
      <c r="C565" s="1"/>
      <c r="D565" s="1"/>
      <c r="E565" s="1"/>
      <c r="F565" s="1"/>
      <c r="G565" s="1"/>
      <c r="H565" s="1"/>
      <c r="I565" s="1"/>
      <c r="J565" s="1"/>
      <c r="K565" s="1"/>
      <c r="L565" s="1"/>
      <c r="M565" s="1"/>
      <c r="N565" s="1"/>
      <c r="O565" s="1"/>
      <c r="P565" s="1"/>
      <c r="Q565" s="1"/>
      <c r="R565" s="1"/>
      <c r="S565" s="1"/>
      <c r="T565" s="1"/>
    </row>
    <row r="566" spans="1:20" ht="13.5">
      <c r="A566" s="1"/>
      <c r="B566" s="1"/>
      <c r="C566" s="1"/>
      <c r="D566" s="1"/>
      <c r="E566" s="1"/>
      <c r="F566" s="1"/>
      <c r="G566" s="1"/>
      <c r="H566" s="1"/>
      <c r="I566" s="1"/>
      <c r="J566" s="1"/>
      <c r="K566" s="1"/>
      <c r="L566" s="1"/>
      <c r="M566" s="1"/>
      <c r="N566" s="1"/>
      <c r="O566" s="1"/>
      <c r="P566" s="1"/>
      <c r="Q566" s="1"/>
      <c r="R566" s="1"/>
      <c r="S566" s="1"/>
      <c r="T566" s="1"/>
    </row>
    <row r="567" spans="1:20" ht="13.5">
      <c r="A567" s="1"/>
      <c r="B567" s="1"/>
      <c r="C567" s="1"/>
      <c r="D567" s="1"/>
      <c r="E567" s="1"/>
      <c r="F567" s="1"/>
      <c r="G567" s="1"/>
      <c r="H567" s="1"/>
      <c r="I567" s="1"/>
      <c r="J567" s="1"/>
      <c r="K567" s="1"/>
      <c r="L567" s="1"/>
      <c r="M567" s="1"/>
      <c r="N567" s="1"/>
      <c r="O567" s="1"/>
      <c r="P567" s="1"/>
      <c r="Q567" s="1"/>
      <c r="R567" s="1"/>
      <c r="S567" s="1"/>
      <c r="T567" s="1"/>
    </row>
    <row r="568" spans="1:20" ht="13.5">
      <c r="A568" s="1"/>
      <c r="B568" s="1"/>
      <c r="C568" s="1"/>
      <c r="D568" s="1"/>
      <c r="E568" s="1"/>
      <c r="F568" s="1"/>
      <c r="G568" s="1"/>
      <c r="H568" s="1"/>
      <c r="I568" s="1"/>
      <c r="J568" s="1"/>
      <c r="K568" s="1"/>
      <c r="L568" s="1"/>
      <c r="M568" s="1"/>
      <c r="N568" s="1"/>
      <c r="O568" s="1"/>
      <c r="P568" s="1"/>
      <c r="Q568" s="1"/>
      <c r="R568" s="1"/>
      <c r="S568" s="1"/>
      <c r="T568" s="1"/>
    </row>
    <row r="569" spans="1:20" ht="13.5">
      <c r="A569" s="1"/>
      <c r="B569" s="1"/>
      <c r="C569" s="1"/>
      <c r="D569" s="1"/>
      <c r="E569" s="1"/>
      <c r="F569" s="1"/>
      <c r="G569" s="1"/>
      <c r="H569" s="1"/>
      <c r="I569" s="1"/>
      <c r="J569" s="1"/>
      <c r="K569" s="1"/>
      <c r="L569" s="1"/>
      <c r="M569" s="1"/>
      <c r="N569" s="1"/>
      <c r="O569" s="1"/>
      <c r="P569" s="1"/>
      <c r="Q569" s="1"/>
      <c r="R569" s="1"/>
      <c r="S569" s="1"/>
      <c r="T569" s="1"/>
    </row>
    <row r="570" spans="1:20" ht="13.5">
      <c r="A570" s="1"/>
      <c r="B570" s="1"/>
      <c r="C570" s="1"/>
      <c r="D570" s="1"/>
      <c r="E570" s="1"/>
      <c r="F570" s="1"/>
      <c r="G570" s="1"/>
      <c r="H570" s="1"/>
      <c r="I570" s="1"/>
      <c r="J570" s="1"/>
      <c r="K570" s="1"/>
      <c r="L570" s="1"/>
      <c r="M570" s="1"/>
      <c r="N570" s="1"/>
      <c r="O570" s="1"/>
      <c r="P570" s="1"/>
      <c r="Q570" s="1"/>
      <c r="R570" s="1"/>
      <c r="S570" s="1"/>
      <c r="T570" s="1"/>
    </row>
    <row r="571" spans="1:20" ht="13.5">
      <c r="A571" s="1"/>
      <c r="B571" s="1"/>
      <c r="C571" s="1"/>
      <c r="D571" s="1"/>
      <c r="E571" s="1"/>
      <c r="F571" s="1"/>
      <c r="G571" s="1"/>
      <c r="H571" s="1"/>
      <c r="I571" s="1"/>
      <c r="J571" s="1"/>
      <c r="K571" s="1"/>
      <c r="L571" s="1"/>
      <c r="M571" s="1"/>
      <c r="N571" s="1"/>
      <c r="O571" s="1"/>
      <c r="P571" s="1"/>
      <c r="Q571" s="1"/>
      <c r="R571" s="1"/>
      <c r="S571" s="1"/>
      <c r="T571" s="1"/>
    </row>
    <row r="572" spans="1:20" ht="13.5">
      <c r="A572" s="1"/>
      <c r="B572" s="1"/>
      <c r="C572" s="1"/>
      <c r="D572" s="1"/>
      <c r="E572" s="1"/>
      <c r="F572" s="1"/>
      <c r="G572" s="1"/>
      <c r="H572" s="1"/>
      <c r="I572" s="1"/>
      <c r="J572" s="1"/>
      <c r="K572" s="1"/>
      <c r="L572" s="1"/>
      <c r="M572" s="1"/>
      <c r="N572" s="1"/>
      <c r="O572" s="1"/>
      <c r="P572" s="1"/>
      <c r="Q572" s="1"/>
      <c r="R572" s="1"/>
      <c r="S572" s="1"/>
      <c r="T572" s="1"/>
    </row>
    <row r="573" spans="1:20" ht="13.5">
      <c r="A573" s="1"/>
      <c r="B573" s="1"/>
      <c r="C573" s="1"/>
      <c r="D573" s="1"/>
      <c r="E573" s="1"/>
      <c r="F573" s="1"/>
      <c r="G573" s="1"/>
      <c r="H573" s="1"/>
      <c r="I573" s="1"/>
      <c r="J573" s="1"/>
      <c r="K573" s="1"/>
      <c r="L573" s="1"/>
      <c r="M573" s="1"/>
      <c r="N573" s="1"/>
      <c r="O573" s="1"/>
      <c r="P573" s="1"/>
      <c r="Q573" s="1"/>
      <c r="R573" s="1"/>
      <c r="S573" s="1"/>
      <c r="T573" s="1"/>
    </row>
    <row r="574" spans="1:20" ht="13.5">
      <c r="A574" s="1"/>
      <c r="B574" s="1"/>
      <c r="C574" s="1"/>
      <c r="D574" s="1"/>
      <c r="E574" s="1"/>
      <c r="F574" s="1"/>
      <c r="G574" s="1"/>
      <c r="H574" s="1"/>
      <c r="I574" s="1"/>
      <c r="J574" s="1"/>
      <c r="K574" s="1"/>
      <c r="L574" s="1"/>
      <c r="M574" s="1"/>
      <c r="N574" s="1"/>
      <c r="O574" s="1"/>
      <c r="P574" s="1"/>
      <c r="Q574" s="1"/>
      <c r="R574" s="1"/>
      <c r="S574" s="1"/>
      <c r="T574" s="1"/>
    </row>
    <row r="575" spans="1:20" ht="13.5">
      <c r="A575" s="1"/>
      <c r="B575" s="1"/>
      <c r="C575" s="1"/>
      <c r="D575" s="1"/>
      <c r="E575" s="1"/>
      <c r="F575" s="1"/>
      <c r="G575" s="1"/>
      <c r="H575" s="1"/>
      <c r="I575" s="1"/>
      <c r="J575" s="1"/>
      <c r="K575" s="1"/>
      <c r="L575" s="1"/>
      <c r="M575" s="1"/>
      <c r="N575" s="1"/>
      <c r="O575" s="1"/>
      <c r="P575" s="1"/>
      <c r="Q575" s="1"/>
      <c r="R575" s="1"/>
      <c r="S575" s="1"/>
      <c r="T575" s="1"/>
    </row>
    <row r="576" spans="1:20" ht="13.5">
      <c r="A576" s="1"/>
      <c r="B576" s="1"/>
      <c r="C576" s="1"/>
      <c r="D576" s="1"/>
      <c r="E576" s="1"/>
      <c r="F576" s="1"/>
      <c r="G576" s="1"/>
      <c r="H576" s="1"/>
      <c r="I576" s="1"/>
      <c r="J576" s="1"/>
      <c r="K576" s="1"/>
      <c r="L576" s="1"/>
      <c r="M576" s="1"/>
      <c r="N576" s="1"/>
      <c r="O576" s="1"/>
      <c r="P576" s="1"/>
      <c r="Q576" s="1"/>
      <c r="R576" s="1"/>
      <c r="S576" s="1"/>
      <c r="T576" s="1"/>
    </row>
    <row r="577" spans="1:20" ht="13.5">
      <c r="A577" s="1"/>
      <c r="B577" s="1"/>
      <c r="C577" s="1"/>
      <c r="D577" s="1"/>
      <c r="E577" s="1"/>
      <c r="F577" s="1"/>
      <c r="G577" s="1"/>
      <c r="H577" s="1"/>
      <c r="I577" s="1"/>
      <c r="J577" s="1"/>
      <c r="K577" s="1"/>
      <c r="L577" s="1"/>
      <c r="M577" s="1"/>
      <c r="N577" s="1"/>
      <c r="O577" s="1"/>
      <c r="P577" s="1"/>
      <c r="Q577" s="1"/>
      <c r="R577" s="1"/>
      <c r="S577" s="1"/>
      <c r="T577" s="1"/>
    </row>
    <row r="578" spans="1:20" ht="13.5">
      <c r="A578" s="1"/>
      <c r="B578" s="1"/>
      <c r="C578" s="1"/>
      <c r="D578" s="1"/>
      <c r="E578" s="1"/>
      <c r="F578" s="1"/>
      <c r="G578" s="1"/>
      <c r="H578" s="1"/>
      <c r="I578" s="1"/>
      <c r="J578" s="1"/>
      <c r="K578" s="1"/>
      <c r="L578" s="1"/>
      <c r="M578" s="1"/>
      <c r="N578" s="1"/>
      <c r="O578" s="1"/>
      <c r="P578" s="1"/>
      <c r="Q578" s="1"/>
      <c r="R578" s="1"/>
      <c r="S578" s="1"/>
      <c r="T578" s="1"/>
    </row>
    <row r="579" spans="1:20" ht="13.5">
      <c r="A579" s="1"/>
      <c r="B579" s="1"/>
      <c r="C579" s="1"/>
      <c r="D579" s="1"/>
      <c r="E579" s="1"/>
      <c r="F579" s="1"/>
      <c r="G579" s="1"/>
      <c r="H579" s="1"/>
      <c r="I579" s="1"/>
      <c r="J579" s="1"/>
      <c r="K579" s="1"/>
      <c r="L579" s="1"/>
      <c r="M579" s="1"/>
      <c r="N579" s="1"/>
      <c r="O579" s="1"/>
      <c r="P579" s="1"/>
      <c r="Q579" s="1"/>
      <c r="R579" s="1"/>
      <c r="S579" s="1"/>
      <c r="T579" s="1"/>
    </row>
    <row r="580" spans="1:20" ht="13.5">
      <c r="A580" s="1"/>
      <c r="B580" s="1"/>
      <c r="C580" s="1"/>
      <c r="D580" s="1"/>
      <c r="E580" s="1"/>
      <c r="F580" s="1"/>
      <c r="G580" s="1"/>
      <c r="H580" s="1"/>
      <c r="I580" s="1"/>
      <c r="J580" s="1"/>
      <c r="K580" s="1"/>
      <c r="L580" s="1"/>
      <c r="M580" s="1"/>
      <c r="N580" s="1"/>
      <c r="O580" s="1"/>
      <c r="P580" s="1"/>
      <c r="Q580" s="1"/>
      <c r="R580" s="1"/>
      <c r="S580" s="1"/>
      <c r="T580" s="1"/>
    </row>
    <row r="581" spans="1:20" ht="13.5">
      <c r="A581" s="1"/>
      <c r="B581" s="1"/>
      <c r="C581" s="1"/>
      <c r="D581" s="1"/>
      <c r="E581" s="1"/>
      <c r="F581" s="1"/>
      <c r="G581" s="1"/>
      <c r="H581" s="1"/>
      <c r="I581" s="1"/>
      <c r="J581" s="1"/>
      <c r="K581" s="1"/>
      <c r="L581" s="1"/>
      <c r="M581" s="1"/>
      <c r="N581" s="1"/>
      <c r="O581" s="1"/>
      <c r="P581" s="1"/>
      <c r="Q581" s="1"/>
      <c r="R581" s="1"/>
      <c r="S581" s="1"/>
      <c r="T581" s="1"/>
    </row>
    <row r="582" spans="1:20" ht="13.5">
      <c r="A582" s="1"/>
      <c r="B582" s="1"/>
      <c r="C582" s="1"/>
      <c r="D582" s="1"/>
      <c r="E582" s="1"/>
      <c r="F582" s="1"/>
      <c r="G582" s="1"/>
      <c r="H582" s="1"/>
      <c r="I582" s="1"/>
      <c r="J582" s="1"/>
      <c r="K582" s="1"/>
      <c r="L582" s="1"/>
      <c r="M582" s="1"/>
      <c r="N582" s="1"/>
      <c r="O582" s="1"/>
      <c r="P582" s="1"/>
      <c r="Q582" s="1"/>
      <c r="R582" s="1"/>
      <c r="S582" s="1"/>
      <c r="T582" s="1"/>
    </row>
    <row r="583" spans="1:20" ht="13.5">
      <c r="A583" s="1"/>
      <c r="B583" s="1"/>
      <c r="C583" s="1"/>
      <c r="D583" s="1"/>
      <c r="E583" s="1"/>
      <c r="F583" s="1"/>
      <c r="G583" s="1"/>
      <c r="H583" s="1"/>
      <c r="I583" s="1"/>
      <c r="J583" s="1"/>
      <c r="K583" s="1"/>
      <c r="L583" s="1"/>
      <c r="M583" s="1"/>
      <c r="N583" s="1"/>
      <c r="O583" s="1"/>
      <c r="P583" s="1"/>
      <c r="Q583" s="1"/>
      <c r="R583" s="1"/>
      <c r="S583" s="1"/>
      <c r="T583" s="1"/>
    </row>
    <row r="584" spans="1:20" ht="13.5">
      <c r="A584" s="1"/>
      <c r="B584" s="1"/>
      <c r="C584" s="1"/>
      <c r="D584" s="1"/>
      <c r="E584" s="1"/>
      <c r="F584" s="1"/>
      <c r="G584" s="1"/>
      <c r="H584" s="1"/>
      <c r="I584" s="1"/>
      <c r="J584" s="1"/>
      <c r="K584" s="1"/>
      <c r="L584" s="1"/>
      <c r="M584" s="1"/>
      <c r="N584" s="1"/>
      <c r="O584" s="1"/>
      <c r="P584" s="1"/>
      <c r="Q584" s="1"/>
      <c r="R584" s="1"/>
      <c r="S584" s="1"/>
      <c r="T584" s="1"/>
    </row>
    <row r="585" spans="1:20" ht="13.5">
      <c r="A585" s="1"/>
      <c r="B585" s="1"/>
      <c r="C585" s="1"/>
      <c r="D585" s="1"/>
      <c r="E585" s="1"/>
      <c r="F585" s="1"/>
      <c r="G585" s="1"/>
      <c r="H585" s="1"/>
      <c r="I585" s="1"/>
      <c r="J585" s="1"/>
      <c r="K585" s="1"/>
      <c r="L585" s="1"/>
      <c r="M585" s="1"/>
      <c r="N585" s="1"/>
      <c r="O585" s="1"/>
      <c r="P585" s="1"/>
      <c r="Q585" s="1"/>
      <c r="R585" s="1"/>
      <c r="S585" s="1"/>
      <c r="T585" s="1"/>
    </row>
    <row r="586" spans="1:20" ht="13.5">
      <c r="A586" s="1"/>
      <c r="B586" s="1"/>
      <c r="C586" s="1"/>
      <c r="D586" s="1"/>
      <c r="E586" s="1"/>
      <c r="F586" s="1"/>
      <c r="G586" s="1"/>
      <c r="H586" s="1"/>
      <c r="I586" s="1"/>
      <c r="J586" s="1"/>
      <c r="K586" s="1"/>
      <c r="L586" s="1"/>
      <c r="M586" s="1"/>
      <c r="N586" s="1"/>
      <c r="O586" s="1"/>
      <c r="P586" s="1"/>
      <c r="Q586" s="1"/>
      <c r="R586" s="1"/>
      <c r="S586" s="1"/>
      <c r="T586" s="1"/>
    </row>
    <row r="587" spans="1:20" ht="13.5">
      <c r="A587" s="1"/>
      <c r="B587" s="1"/>
      <c r="C587" s="1"/>
      <c r="D587" s="1"/>
      <c r="E587" s="1"/>
      <c r="F587" s="1"/>
      <c r="G587" s="1"/>
      <c r="H587" s="1"/>
      <c r="I587" s="1"/>
      <c r="J587" s="1"/>
      <c r="K587" s="1"/>
      <c r="L587" s="1"/>
      <c r="M587" s="1"/>
      <c r="N587" s="1"/>
      <c r="O587" s="1"/>
      <c r="P587" s="1"/>
      <c r="Q587" s="1"/>
      <c r="R587" s="1"/>
      <c r="S587" s="1"/>
      <c r="T587" s="1"/>
    </row>
    <row r="588" spans="1:20" ht="13.5">
      <c r="A588" s="1"/>
      <c r="B588" s="1"/>
      <c r="C588" s="1"/>
      <c r="D588" s="1"/>
      <c r="E588" s="1"/>
      <c r="F588" s="1"/>
      <c r="G588" s="1"/>
      <c r="H588" s="1"/>
      <c r="I588" s="1"/>
      <c r="J588" s="1"/>
      <c r="K588" s="1"/>
      <c r="L588" s="1"/>
      <c r="M588" s="1"/>
      <c r="N588" s="1"/>
      <c r="O588" s="1"/>
      <c r="P588" s="1"/>
      <c r="Q588" s="1"/>
      <c r="R588" s="1"/>
      <c r="S588" s="1"/>
      <c r="T588" s="1"/>
    </row>
    <row r="589" spans="1:20" ht="13.5">
      <c r="A589" s="1"/>
      <c r="B589" s="1"/>
      <c r="C589" s="1"/>
      <c r="D589" s="1"/>
      <c r="E589" s="1"/>
      <c r="F589" s="1"/>
      <c r="G589" s="1"/>
      <c r="H589" s="1"/>
      <c r="I589" s="1"/>
      <c r="J589" s="1"/>
      <c r="K589" s="1"/>
      <c r="L589" s="1"/>
      <c r="M589" s="1"/>
      <c r="N589" s="1"/>
      <c r="O589" s="1"/>
      <c r="P589" s="1"/>
      <c r="Q589" s="1"/>
      <c r="R589" s="1"/>
      <c r="S589" s="1"/>
      <c r="T589" s="1"/>
    </row>
    <row r="590" spans="1:20" ht="13.5">
      <c r="A590" s="1"/>
      <c r="B590" s="1"/>
      <c r="C590" s="1"/>
      <c r="D590" s="1"/>
      <c r="E590" s="1"/>
      <c r="F590" s="1"/>
      <c r="G590" s="1"/>
      <c r="H590" s="1"/>
      <c r="I590" s="1"/>
      <c r="J590" s="1"/>
      <c r="K590" s="1"/>
      <c r="L590" s="1"/>
      <c r="M590" s="1"/>
      <c r="N590" s="1"/>
      <c r="O590" s="1"/>
      <c r="P590" s="1"/>
      <c r="Q590" s="1"/>
      <c r="R590" s="1"/>
      <c r="S590" s="1"/>
      <c r="T590" s="1"/>
    </row>
    <row r="591" spans="1:20" ht="13.5">
      <c r="A591" s="1"/>
      <c r="B591" s="1"/>
      <c r="C591" s="1"/>
      <c r="D591" s="1"/>
      <c r="E591" s="1"/>
      <c r="F591" s="1"/>
      <c r="G591" s="1"/>
      <c r="H591" s="1"/>
      <c r="I591" s="1"/>
      <c r="J591" s="1"/>
      <c r="K591" s="1"/>
      <c r="L591" s="1"/>
      <c r="M591" s="1"/>
      <c r="N591" s="1"/>
      <c r="O591" s="1"/>
      <c r="P591" s="1"/>
      <c r="Q591" s="1"/>
      <c r="R591" s="1"/>
      <c r="S591" s="1"/>
      <c r="T591" s="1"/>
    </row>
    <row r="592" spans="1:20" ht="13.5">
      <c r="A592" s="1"/>
      <c r="B592" s="1"/>
      <c r="C592" s="1"/>
      <c r="D592" s="1"/>
      <c r="E592" s="1"/>
      <c r="F592" s="1"/>
      <c r="G592" s="1"/>
      <c r="H592" s="1"/>
      <c r="I592" s="1"/>
      <c r="J592" s="1"/>
      <c r="K592" s="1"/>
      <c r="L592" s="1"/>
      <c r="M592" s="1"/>
      <c r="N592" s="1"/>
      <c r="O592" s="1"/>
      <c r="P592" s="1"/>
      <c r="Q592" s="1"/>
      <c r="R592" s="1"/>
      <c r="S592" s="1"/>
      <c r="T592" s="1"/>
    </row>
    <row r="593" spans="1:20" ht="13.5">
      <c r="A593" s="1"/>
      <c r="B593" s="1"/>
      <c r="C593" s="1"/>
      <c r="D593" s="1"/>
      <c r="E593" s="1"/>
      <c r="F593" s="1"/>
      <c r="G593" s="1"/>
      <c r="H593" s="1"/>
      <c r="I593" s="1"/>
      <c r="J593" s="1"/>
      <c r="K593" s="1"/>
      <c r="L593" s="1"/>
      <c r="M593" s="1"/>
      <c r="N593" s="1"/>
      <c r="O593" s="1"/>
      <c r="P593" s="1"/>
      <c r="Q593" s="1"/>
      <c r="R593" s="1"/>
      <c r="S593" s="1"/>
      <c r="T593" s="1"/>
    </row>
    <row r="594" spans="1:20" ht="13.5">
      <c r="A594" s="1"/>
      <c r="B594" s="1"/>
      <c r="C594" s="1"/>
      <c r="D594" s="1"/>
      <c r="E594" s="1"/>
      <c r="F594" s="1"/>
      <c r="G594" s="1"/>
      <c r="H594" s="1"/>
      <c r="I594" s="1"/>
      <c r="J594" s="1"/>
      <c r="K594" s="1"/>
      <c r="L594" s="1"/>
      <c r="M594" s="1"/>
      <c r="N594" s="1"/>
      <c r="O594" s="1"/>
      <c r="P594" s="1"/>
      <c r="Q594" s="1"/>
      <c r="R594" s="1"/>
      <c r="S594" s="1"/>
      <c r="T594" s="1"/>
    </row>
    <row r="595" spans="1:20" ht="13.5">
      <c r="A595" s="1"/>
      <c r="B595" s="1"/>
      <c r="C595" s="1"/>
      <c r="D595" s="1"/>
      <c r="E595" s="1"/>
      <c r="F595" s="1"/>
      <c r="G595" s="1"/>
      <c r="H595" s="1"/>
      <c r="I595" s="1"/>
      <c r="J595" s="1"/>
      <c r="K595" s="1"/>
      <c r="L595" s="1"/>
      <c r="M595" s="1"/>
      <c r="N595" s="1"/>
      <c r="O595" s="1"/>
      <c r="P595" s="1"/>
      <c r="Q595" s="1"/>
      <c r="R595" s="1"/>
      <c r="S595" s="1"/>
      <c r="T595" s="1"/>
    </row>
    <row r="596" spans="1:20" ht="13.5">
      <c r="A596" s="1"/>
      <c r="B596" s="1"/>
      <c r="C596" s="1"/>
      <c r="D596" s="1"/>
      <c r="E596" s="1"/>
      <c r="F596" s="1"/>
      <c r="G596" s="1"/>
      <c r="H596" s="1"/>
      <c r="I596" s="1"/>
      <c r="J596" s="1"/>
      <c r="K596" s="1"/>
      <c r="L596" s="1"/>
      <c r="M596" s="1"/>
      <c r="N596" s="1"/>
      <c r="O596" s="1"/>
      <c r="P596" s="1"/>
      <c r="Q596" s="1"/>
      <c r="R596" s="1"/>
      <c r="S596" s="1"/>
      <c r="T596" s="1"/>
    </row>
    <row r="597" spans="1:20" ht="13.5">
      <c r="A597" s="1"/>
      <c r="B597" s="1"/>
      <c r="C597" s="1"/>
      <c r="D597" s="1"/>
      <c r="E597" s="1"/>
      <c r="F597" s="1"/>
      <c r="G597" s="1"/>
      <c r="H597" s="1"/>
      <c r="I597" s="1"/>
      <c r="J597" s="1"/>
      <c r="K597" s="1"/>
      <c r="L597" s="1"/>
      <c r="M597" s="1"/>
      <c r="N597" s="1"/>
      <c r="O597" s="1"/>
      <c r="P597" s="1"/>
      <c r="Q597" s="1"/>
      <c r="R597" s="1"/>
      <c r="S597" s="1"/>
      <c r="T597" s="1"/>
    </row>
    <row r="598" spans="1:20" ht="13.5">
      <c r="A598" s="1"/>
      <c r="B598" s="1"/>
      <c r="C598" s="1"/>
      <c r="D598" s="1"/>
      <c r="E598" s="1"/>
      <c r="F598" s="1"/>
      <c r="G598" s="1"/>
      <c r="H598" s="1"/>
      <c r="I598" s="1"/>
      <c r="J598" s="1"/>
      <c r="K598" s="1"/>
      <c r="L598" s="1"/>
      <c r="M598" s="1"/>
      <c r="N598" s="1"/>
      <c r="O598" s="1"/>
      <c r="P598" s="1"/>
      <c r="Q598" s="1"/>
      <c r="R598" s="1"/>
      <c r="S598" s="1"/>
      <c r="T598" s="1"/>
    </row>
    <row r="599" spans="1:20" ht="13.5">
      <c r="A599" s="1"/>
      <c r="B599" s="1"/>
      <c r="C599" s="1"/>
      <c r="D599" s="1"/>
      <c r="E599" s="1"/>
      <c r="F599" s="1"/>
      <c r="G599" s="1"/>
      <c r="H599" s="1"/>
      <c r="I599" s="1"/>
      <c r="J599" s="1"/>
      <c r="K599" s="1"/>
      <c r="L599" s="1"/>
      <c r="M599" s="1"/>
      <c r="N599" s="1"/>
      <c r="O599" s="1"/>
      <c r="P599" s="1"/>
      <c r="Q599" s="1"/>
      <c r="R599" s="1"/>
      <c r="S599" s="1"/>
      <c r="T599" s="1"/>
    </row>
    <row r="600" spans="1:20" ht="13.5">
      <c r="A600" s="1"/>
      <c r="B600" s="1"/>
      <c r="C600" s="1"/>
      <c r="D600" s="1"/>
      <c r="E600" s="1"/>
      <c r="F600" s="1"/>
      <c r="G600" s="1"/>
      <c r="H600" s="1"/>
      <c r="I600" s="1"/>
      <c r="J600" s="1"/>
      <c r="K600" s="1"/>
      <c r="L600" s="1"/>
      <c r="M600" s="1"/>
      <c r="N600" s="1"/>
      <c r="O600" s="1"/>
      <c r="P600" s="1"/>
      <c r="Q600" s="1"/>
      <c r="R600" s="1"/>
      <c r="S600" s="1"/>
      <c r="T600" s="1"/>
    </row>
    <row r="601" spans="1:20" ht="13.5">
      <c r="A601" s="1"/>
      <c r="B601" s="1"/>
      <c r="C601" s="1"/>
      <c r="D601" s="1"/>
      <c r="E601" s="1"/>
      <c r="F601" s="1"/>
      <c r="G601" s="1"/>
      <c r="H601" s="1"/>
      <c r="I601" s="1"/>
      <c r="J601" s="1"/>
      <c r="K601" s="1"/>
      <c r="L601" s="1"/>
      <c r="M601" s="1"/>
      <c r="N601" s="1"/>
      <c r="O601" s="1"/>
      <c r="P601" s="1"/>
      <c r="Q601" s="1"/>
      <c r="R601" s="1"/>
      <c r="S601" s="1"/>
      <c r="T601" s="1"/>
    </row>
    <row r="602" spans="1:20" ht="13.5">
      <c r="A602" s="1"/>
      <c r="B602" s="1"/>
      <c r="C602" s="1"/>
      <c r="D602" s="1"/>
      <c r="E602" s="1"/>
      <c r="F602" s="1"/>
      <c r="G602" s="1"/>
      <c r="H602" s="1"/>
      <c r="I602" s="1"/>
      <c r="J602" s="1"/>
      <c r="K602" s="1"/>
      <c r="L602" s="1"/>
      <c r="M602" s="1"/>
      <c r="N602" s="1"/>
      <c r="O602" s="1"/>
      <c r="P602" s="1"/>
      <c r="Q602" s="1"/>
      <c r="R602" s="1"/>
      <c r="S602" s="1"/>
      <c r="T602" s="1"/>
    </row>
    <row r="603" spans="1:20" ht="13.5">
      <c r="A603" s="1"/>
      <c r="B603" s="1"/>
      <c r="C603" s="1"/>
      <c r="D603" s="1"/>
      <c r="E603" s="1"/>
      <c r="F603" s="1"/>
      <c r="G603" s="1"/>
      <c r="H603" s="1"/>
      <c r="I603" s="1"/>
      <c r="J603" s="1"/>
      <c r="K603" s="1"/>
      <c r="L603" s="1"/>
      <c r="M603" s="1"/>
      <c r="N603" s="1"/>
      <c r="O603" s="1"/>
      <c r="P603" s="1"/>
      <c r="Q603" s="1"/>
      <c r="R603" s="1"/>
      <c r="S603" s="1"/>
      <c r="T603" s="1"/>
    </row>
    <row r="604" spans="1:20" ht="13.5">
      <c r="A604" s="1"/>
      <c r="B604" s="1"/>
      <c r="C604" s="1"/>
      <c r="D604" s="1"/>
      <c r="E604" s="1"/>
      <c r="F604" s="1"/>
      <c r="G604" s="1"/>
      <c r="H604" s="1"/>
      <c r="I604" s="1"/>
      <c r="J604" s="1"/>
      <c r="K604" s="1"/>
      <c r="L604" s="1"/>
      <c r="M604" s="1"/>
      <c r="N604" s="1"/>
      <c r="O604" s="1"/>
      <c r="P604" s="1"/>
      <c r="Q604" s="1"/>
      <c r="R604" s="1"/>
      <c r="S604" s="1"/>
      <c r="T604" s="1"/>
    </row>
    <row r="605" spans="1:20" ht="13.5">
      <c r="A605" s="1"/>
      <c r="B605" s="1"/>
      <c r="C605" s="1"/>
      <c r="D605" s="1"/>
      <c r="E605" s="1"/>
      <c r="F605" s="1"/>
      <c r="G605" s="1"/>
      <c r="H605" s="1"/>
      <c r="I605" s="1"/>
      <c r="J605" s="1"/>
      <c r="K605" s="1"/>
      <c r="L605" s="1"/>
      <c r="M605" s="1"/>
      <c r="N605" s="1"/>
      <c r="O605" s="1"/>
      <c r="P605" s="1"/>
      <c r="Q605" s="1"/>
      <c r="R605" s="1"/>
      <c r="S605" s="1"/>
      <c r="T605" s="1"/>
    </row>
    <row r="606" spans="1:20" ht="13.5">
      <c r="A606" s="1"/>
      <c r="B606" s="1"/>
      <c r="C606" s="1"/>
      <c r="D606" s="1"/>
      <c r="E606" s="1"/>
      <c r="F606" s="1"/>
      <c r="G606" s="1"/>
      <c r="H606" s="1"/>
      <c r="I606" s="1"/>
      <c r="J606" s="1"/>
      <c r="K606" s="1"/>
      <c r="L606" s="1"/>
      <c r="M606" s="1"/>
      <c r="N606" s="1"/>
      <c r="O606" s="1"/>
      <c r="P606" s="1"/>
      <c r="Q606" s="1"/>
      <c r="R606" s="1"/>
      <c r="S606" s="1"/>
      <c r="T606" s="1"/>
    </row>
    <row r="607" spans="1:20" ht="13.5">
      <c r="A607" s="1"/>
      <c r="B607" s="1"/>
      <c r="C607" s="1"/>
      <c r="D607" s="1"/>
      <c r="E607" s="1"/>
      <c r="F607" s="1"/>
      <c r="G607" s="1"/>
      <c r="H607" s="1"/>
      <c r="I607" s="1"/>
      <c r="J607" s="1"/>
      <c r="K607" s="1"/>
      <c r="L607" s="1"/>
      <c r="M607" s="1"/>
      <c r="N607" s="1"/>
      <c r="O607" s="1"/>
      <c r="P607" s="1"/>
      <c r="Q607" s="1"/>
      <c r="R607" s="1"/>
      <c r="S607" s="1"/>
      <c r="T607" s="1"/>
    </row>
    <row r="608" spans="1:20" ht="13.5">
      <c r="A608" s="1"/>
      <c r="B608" s="1"/>
      <c r="C608" s="1"/>
      <c r="D608" s="1"/>
      <c r="E608" s="1"/>
      <c r="F608" s="1"/>
      <c r="G608" s="1"/>
      <c r="H608" s="1"/>
      <c r="I608" s="1"/>
      <c r="J608" s="1"/>
      <c r="K608" s="1"/>
      <c r="L608" s="1"/>
      <c r="M608" s="1"/>
      <c r="N608" s="1"/>
      <c r="O608" s="1"/>
      <c r="P608" s="1"/>
      <c r="Q608" s="1"/>
      <c r="R608" s="1"/>
      <c r="S608" s="1"/>
      <c r="T608" s="1"/>
    </row>
    <row r="609" spans="1:20" ht="13.5">
      <c r="A609" s="1"/>
      <c r="B609" s="1"/>
      <c r="C609" s="1"/>
      <c r="D609" s="1"/>
      <c r="E609" s="1"/>
      <c r="F609" s="1"/>
      <c r="G609" s="1"/>
      <c r="H609" s="1"/>
      <c r="I609" s="1"/>
      <c r="J609" s="1"/>
      <c r="K609" s="1"/>
      <c r="L609" s="1"/>
      <c r="M609" s="1"/>
      <c r="N609" s="1"/>
      <c r="O609" s="1"/>
      <c r="P609" s="1"/>
      <c r="Q609" s="1"/>
      <c r="R609" s="1"/>
      <c r="S609" s="1"/>
      <c r="T609" s="1"/>
    </row>
    <row r="610" spans="1:20" ht="13.5">
      <c r="A610" s="1"/>
      <c r="B610" s="1"/>
      <c r="C610" s="1"/>
      <c r="D610" s="1"/>
      <c r="E610" s="1"/>
      <c r="F610" s="1"/>
      <c r="G610" s="1"/>
      <c r="H610" s="1"/>
      <c r="I610" s="1"/>
      <c r="J610" s="1"/>
      <c r="K610" s="1"/>
      <c r="L610" s="1"/>
      <c r="M610" s="1"/>
      <c r="N610" s="1"/>
      <c r="O610" s="1"/>
      <c r="P610" s="1"/>
      <c r="Q610" s="1"/>
      <c r="R610" s="1"/>
      <c r="S610" s="1"/>
      <c r="T610" s="1"/>
    </row>
    <row r="611" spans="1:20" ht="13.5">
      <c r="A611" s="1"/>
      <c r="B611" s="1"/>
      <c r="C611" s="1"/>
      <c r="D611" s="1"/>
      <c r="E611" s="1"/>
      <c r="F611" s="1"/>
      <c r="G611" s="1"/>
      <c r="H611" s="1"/>
      <c r="I611" s="1"/>
      <c r="J611" s="1"/>
      <c r="K611" s="1"/>
      <c r="L611" s="1"/>
      <c r="M611" s="1"/>
      <c r="N611" s="1"/>
      <c r="O611" s="1"/>
      <c r="P611" s="1"/>
      <c r="Q611" s="1"/>
      <c r="R611" s="1"/>
      <c r="S611" s="1"/>
      <c r="T611" s="1"/>
    </row>
    <row r="612" spans="1:20" ht="13.5">
      <c r="A612" s="1"/>
      <c r="B612" s="1"/>
      <c r="C612" s="1"/>
      <c r="D612" s="1"/>
      <c r="E612" s="1"/>
      <c r="F612" s="1"/>
      <c r="G612" s="1"/>
      <c r="H612" s="1"/>
      <c r="I612" s="1"/>
      <c r="J612" s="1"/>
      <c r="K612" s="1"/>
      <c r="L612" s="1"/>
      <c r="M612" s="1"/>
      <c r="N612" s="1"/>
      <c r="O612" s="1"/>
      <c r="P612" s="1"/>
      <c r="Q612" s="1"/>
      <c r="R612" s="1"/>
      <c r="S612" s="1"/>
      <c r="T612" s="1"/>
    </row>
    <row r="613" spans="1:20" ht="13.5">
      <c r="A613" s="1"/>
      <c r="B613" s="1"/>
      <c r="C613" s="1"/>
      <c r="D613" s="1"/>
      <c r="E613" s="1"/>
      <c r="F613" s="1"/>
      <c r="G613" s="1"/>
      <c r="H613" s="1"/>
      <c r="I613" s="1"/>
      <c r="J613" s="1"/>
      <c r="K613" s="1"/>
      <c r="L613" s="1"/>
      <c r="M613" s="1"/>
      <c r="N613" s="1"/>
      <c r="O613" s="1"/>
      <c r="P613" s="1"/>
      <c r="Q613" s="1"/>
      <c r="R613" s="1"/>
      <c r="S613" s="1"/>
      <c r="T613" s="1"/>
    </row>
    <row r="614" spans="1:20" ht="13.5">
      <c r="A614" s="1"/>
      <c r="B614" s="1"/>
      <c r="C614" s="1"/>
      <c r="D614" s="1"/>
      <c r="E614" s="1"/>
      <c r="F614" s="1"/>
      <c r="G614" s="1"/>
      <c r="H614" s="1"/>
      <c r="I614" s="1"/>
      <c r="J614" s="1"/>
      <c r="K614" s="1"/>
      <c r="L614" s="1"/>
      <c r="M614" s="1"/>
      <c r="N614" s="1"/>
      <c r="O614" s="1"/>
      <c r="P614" s="1"/>
      <c r="Q614" s="1"/>
      <c r="R614" s="1"/>
      <c r="S614" s="1"/>
      <c r="T614" s="1"/>
    </row>
    <row r="615" spans="1:20" ht="13.5">
      <c r="A615" s="1"/>
      <c r="B615" s="1"/>
      <c r="C615" s="1"/>
      <c r="D615" s="1"/>
      <c r="E615" s="1"/>
      <c r="F615" s="1"/>
      <c r="G615" s="1"/>
      <c r="H615" s="1"/>
      <c r="I615" s="1"/>
      <c r="J615" s="1"/>
      <c r="K615" s="1"/>
      <c r="L615" s="1"/>
      <c r="M615" s="1"/>
      <c r="N615" s="1"/>
      <c r="O615" s="1"/>
      <c r="P615" s="1"/>
      <c r="Q615" s="1"/>
      <c r="R615" s="1"/>
      <c r="S615" s="1"/>
      <c r="T615" s="1"/>
    </row>
    <row r="616" spans="1:20" ht="13.5">
      <c r="A616" s="1"/>
      <c r="B616" s="1"/>
      <c r="C616" s="1"/>
      <c r="D616" s="1"/>
      <c r="E616" s="1"/>
      <c r="F616" s="1"/>
      <c r="G616" s="1"/>
      <c r="H616" s="1"/>
      <c r="I616" s="1"/>
      <c r="J616" s="1"/>
      <c r="K616" s="1"/>
      <c r="L616" s="1"/>
      <c r="M616" s="1"/>
      <c r="N616" s="1"/>
      <c r="O616" s="1"/>
      <c r="P616" s="1"/>
      <c r="Q616" s="1"/>
      <c r="R616" s="1"/>
      <c r="S616" s="1"/>
      <c r="T616" s="1"/>
    </row>
    <row r="617" spans="1:20" ht="13.5">
      <c r="A617" s="1"/>
      <c r="B617" s="1"/>
      <c r="C617" s="1"/>
      <c r="D617" s="1"/>
      <c r="E617" s="1"/>
      <c r="F617" s="1"/>
      <c r="G617" s="1"/>
      <c r="H617" s="1"/>
      <c r="I617" s="1"/>
      <c r="J617" s="1"/>
      <c r="K617" s="1"/>
      <c r="L617" s="1"/>
      <c r="M617" s="1"/>
      <c r="N617" s="1"/>
      <c r="O617" s="1"/>
      <c r="P617" s="1"/>
      <c r="Q617" s="1"/>
      <c r="R617" s="1"/>
      <c r="S617" s="1"/>
      <c r="T617" s="1"/>
    </row>
    <row r="618" spans="1:20" ht="13.5">
      <c r="A618" s="1"/>
      <c r="B618" s="1"/>
      <c r="C618" s="1"/>
      <c r="D618" s="1"/>
      <c r="E618" s="1"/>
      <c r="F618" s="1"/>
      <c r="G618" s="1"/>
      <c r="H618" s="1"/>
      <c r="I618" s="1"/>
      <c r="J618" s="1"/>
      <c r="K618" s="1"/>
      <c r="L618" s="1"/>
      <c r="M618" s="1"/>
      <c r="N618" s="1"/>
      <c r="O618" s="1"/>
      <c r="P618" s="1"/>
      <c r="Q618" s="1"/>
      <c r="R618" s="1"/>
      <c r="S618" s="1"/>
      <c r="T618" s="1"/>
    </row>
    <row r="619" spans="1:20" ht="13.5">
      <c r="A619" s="1"/>
      <c r="B619" s="1"/>
      <c r="C619" s="1"/>
      <c r="D619" s="1"/>
      <c r="E619" s="1"/>
      <c r="F619" s="1"/>
      <c r="G619" s="1"/>
      <c r="H619" s="1"/>
      <c r="I619" s="1"/>
      <c r="J619" s="1"/>
      <c r="K619" s="1"/>
      <c r="L619" s="1"/>
      <c r="M619" s="1"/>
      <c r="N619" s="1"/>
      <c r="O619" s="1"/>
      <c r="P619" s="1"/>
      <c r="Q619" s="1"/>
      <c r="R619" s="1"/>
      <c r="S619" s="1"/>
      <c r="T619" s="1"/>
    </row>
    <row r="620" spans="1:20" ht="13.5">
      <c r="A620" s="1"/>
      <c r="B620" s="1"/>
      <c r="C620" s="1"/>
      <c r="D620" s="1"/>
      <c r="E620" s="1"/>
      <c r="F620" s="1"/>
      <c r="G620" s="1"/>
      <c r="H620" s="1"/>
      <c r="I620" s="1"/>
      <c r="J620" s="1"/>
      <c r="K620" s="1"/>
      <c r="L620" s="1"/>
      <c r="M620" s="1"/>
      <c r="N620" s="1"/>
      <c r="O620" s="1"/>
      <c r="P620" s="1"/>
      <c r="Q620" s="1"/>
      <c r="R620" s="1"/>
      <c r="S620" s="1"/>
      <c r="T620" s="1"/>
    </row>
    <row r="621" spans="1:20" ht="13.5">
      <c r="A621" s="1"/>
      <c r="B621" s="1"/>
      <c r="C621" s="1"/>
      <c r="D621" s="1"/>
      <c r="E621" s="1"/>
      <c r="F621" s="1"/>
      <c r="G621" s="1"/>
      <c r="H621" s="1"/>
      <c r="I621" s="1"/>
      <c r="J621" s="1"/>
      <c r="K621" s="1"/>
      <c r="L621" s="1"/>
      <c r="M621" s="1"/>
      <c r="N621" s="1"/>
      <c r="O621" s="1"/>
      <c r="P621" s="1"/>
      <c r="Q621" s="1"/>
      <c r="R621" s="1"/>
      <c r="S621" s="1"/>
      <c r="T621" s="1"/>
    </row>
    <row r="622" spans="1:20" ht="13.5">
      <c r="A622" s="1"/>
      <c r="B622" s="1"/>
      <c r="C622" s="1"/>
      <c r="D622" s="1"/>
      <c r="E622" s="1"/>
      <c r="F622" s="1"/>
      <c r="G622" s="1"/>
      <c r="H622" s="1"/>
      <c r="I622" s="1"/>
      <c r="J622" s="1"/>
      <c r="K622" s="1"/>
      <c r="L622" s="1"/>
      <c r="M622" s="1"/>
      <c r="N622" s="1"/>
      <c r="O622" s="1"/>
      <c r="P622" s="1"/>
      <c r="Q622" s="1"/>
      <c r="R622" s="1"/>
      <c r="S622" s="1"/>
      <c r="T622" s="1"/>
    </row>
    <row r="623" spans="1:20" ht="13.5">
      <c r="A623" s="1"/>
      <c r="B623" s="1"/>
      <c r="C623" s="1"/>
      <c r="D623" s="1"/>
      <c r="E623" s="1"/>
      <c r="F623" s="1"/>
      <c r="G623" s="1"/>
      <c r="H623" s="1"/>
      <c r="I623" s="1"/>
      <c r="J623" s="1"/>
      <c r="K623" s="1"/>
      <c r="L623" s="1"/>
      <c r="M623" s="1"/>
      <c r="N623" s="1"/>
      <c r="O623" s="1"/>
      <c r="P623" s="1"/>
      <c r="Q623" s="1"/>
      <c r="R623" s="1"/>
      <c r="S623" s="1"/>
      <c r="T623" s="1"/>
    </row>
    <row r="624" spans="1:20" ht="13.5">
      <c r="A624" s="1"/>
      <c r="B624" s="1"/>
      <c r="C624" s="1"/>
      <c r="D624" s="1"/>
      <c r="E624" s="1"/>
      <c r="F624" s="1"/>
      <c r="G624" s="1"/>
      <c r="H624" s="1"/>
      <c r="I624" s="1"/>
      <c r="J624" s="1"/>
      <c r="K624" s="1"/>
      <c r="L624" s="1"/>
      <c r="M624" s="1"/>
      <c r="N624" s="1"/>
      <c r="O624" s="1"/>
      <c r="P624" s="1"/>
      <c r="Q624" s="1"/>
      <c r="R624" s="1"/>
      <c r="S624" s="1"/>
      <c r="T624" s="1"/>
    </row>
    <row r="625" spans="1:20" ht="13.5">
      <c r="A625" s="1"/>
      <c r="B625" s="1"/>
      <c r="C625" s="1"/>
      <c r="D625" s="1"/>
      <c r="E625" s="1"/>
      <c r="F625" s="1"/>
      <c r="G625" s="1"/>
      <c r="H625" s="1"/>
      <c r="I625" s="1"/>
      <c r="J625" s="1"/>
      <c r="K625" s="1"/>
      <c r="L625" s="1"/>
      <c r="M625" s="1"/>
      <c r="N625" s="1"/>
      <c r="O625" s="1"/>
      <c r="P625" s="1"/>
      <c r="Q625" s="1"/>
      <c r="R625" s="1"/>
      <c r="S625" s="1"/>
      <c r="T625" s="1"/>
    </row>
    <row r="626" spans="1:20" ht="13.5">
      <c r="A626" s="1"/>
      <c r="B626" s="1"/>
      <c r="C626" s="1"/>
      <c r="D626" s="1"/>
      <c r="E626" s="1"/>
      <c r="F626" s="1"/>
      <c r="G626" s="1"/>
      <c r="H626" s="1"/>
      <c r="I626" s="1"/>
      <c r="J626" s="1"/>
      <c r="K626" s="1"/>
      <c r="L626" s="1"/>
      <c r="M626" s="1"/>
      <c r="N626" s="1"/>
      <c r="O626" s="1"/>
      <c r="P626" s="1"/>
      <c r="Q626" s="1"/>
      <c r="R626" s="1"/>
      <c r="S626" s="1"/>
      <c r="T626" s="1"/>
    </row>
    <row r="627" spans="1:20" ht="13.5">
      <c r="A627" s="1"/>
      <c r="B627" s="1"/>
      <c r="C627" s="1"/>
      <c r="D627" s="1"/>
      <c r="E627" s="1"/>
      <c r="F627" s="1"/>
      <c r="G627" s="1"/>
      <c r="H627" s="1"/>
      <c r="I627" s="1"/>
      <c r="J627" s="1"/>
      <c r="K627" s="1"/>
      <c r="L627" s="1"/>
      <c r="M627" s="1"/>
      <c r="N627" s="1"/>
      <c r="O627" s="1"/>
      <c r="P627" s="1"/>
      <c r="Q627" s="1"/>
      <c r="R627" s="1"/>
      <c r="S627" s="1"/>
      <c r="T627" s="1"/>
    </row>
    <row r="628" spans="1:20" ht="13.5">
      <c r="A628" s="1"/>
      <c r="B628" s="1"/>
      <c r="C628" s="1"/>
      <c r="D628" s="1"/>
      <c r="E628" s="1"/>
      <c r="F628" s="1"/>
      <c r="G628" s="1"/>
      <c r="H628" s="1"/>
      <c r="I628" s="1"/>
      <c r="J628" s="1"/>
      <c r="K628" s="1"/>
      <c r="L628" s="1"/>
      <c r="M628" s="1"/>
      <c r="N628" s="1"/>
      <c r="O628" s="1"/>
      <c r="P628" s="1"/>
      <c r="Q628" s="1"/>
      <c r="R628" s="1"/>
      <c r="S628" s="1"/>
      <c r="T628" s="1"/>
    </row>
    <row r="629" spans="1:20" ht="13.5">
      <c r="A629" s="1"/>
      <c r="B629" s="1"/>
      <c r="C629" s="1"/>
      <c r="D629" s="1"/>
      <c r="E629" s="1"/>
      <c r="F629" s="1"/>
      <c r="G629" s="1"/>
      <c r="H629" s="1"/>
      <c r="I629" s="1"/>
      <c r="J629" s="1"/>
      <c r="K629" s="1"/>
      <c r="L629" s="1"/>
      <c r="M629" s="1"/>
      <c r="N629" s="1"/>
      <c r="O629" s="1"/>
      <c r="P629" s="1"/>
      <c r="Q629" s="1"/>
      <c r="R629" s="1"/>
      <c r="S629" s="1"/>
      <c r="T629" s="1"/>
    </row>
    <row r="630" spans="1:20" ht="13.5">
      <c r="A630" s="1"/>
      <c r="B630" s="1"/>
      <c r="C630" s="1"/>
      <c r="D630" s="1"/>
      <c r="E630" s="1"/>
      <c r="F630" s="1"/>
      <c r="G630" s="1"/>
      <c r="H630" s="1"/>
      <c r="I630" s="1"/>
      <c r="J630" s="1"/>
      <c r="K630" s="1"/>
      <c r="L630" s="1"/>
      <c r="M630" s="1"/>
      <c r="N630" s="1"/>
      <c r="O630" s="1"/>
      <c r="P630" s="1"/>
      <c r="Q630" s="1"/>
      <c r="R630" s="1"/>
      <c r="S630" s="1"/>
      <c r="T630" s="1"/>
    </row>
    <row r="631" spans="1:20" ht="13.5">
      <c r="A631" s="1"/>
      <c r="B631" s="1"/>
      <c r="C631" s="1"/>
      <c r="D631" s="1"/>
      <c r="E631" s="1"/>
      <c r="F631" s="1"/>
      <c r="G631" s="1"/>
      <c r="H631" s="1"/>
      <c r="I631" s="1"/>
      <c r="J631" s="1"/>
      <c r="K631" s="1"/>
      <c r="L631" s="1"/>
      <c r="M631" s="1"/>
      <c r="N631" s="1"/>
      <c r="O631" s="1"/>
      <c r="P631" s="1"/>
      <c r="Q631" s="1"/>
      <c r="R631" s="1"/>
      <c r="S631" s="1"/>
      <c r="T631" s="1"/>
    </row>
    <row r="632" spans="1:20" ht="13.5">
      <c r="A632" s="1"/>
      <c r="B632" s="1"/>
      <c r="C632" s="1"/>
      <c r="D632" s="1"/>
      <c r="E632" s="1"/>
      <c r="F632" s="1"/>
      <c r="G632" s="1"/>
      <c r="H632" s="1"/>
      <c r="I632" s="1"/>
      <c r="J632" s="1"/>
      <c r="K632" s="1"/>
      <c r="L632" s="1"/>
      <c r="M632" s="1"/>
      <c r="N632" s="1"/>
      <c r="O632" s="1"/>
      <c r="P632" s="1"/>
      <c r="Q632" s="1"/>
      <c r="R632" s="1"/>
      <c r="S632" s="1"/>
      <c r="T632" s="1"/>
    </row>
    <row r="633" spans="1:20" ht="13.5">
      <c r="A633" s="1"/>
      <c r="B633" s="1"/>
      <c r="C633" s="1"/>
      <c r="D633" s="1"/>
      <c r="E633" s="1"/>
      <c r="F633" s="1"/>
      <c r="G633" s="1"/>
      <c r="H633" s="1"/>
      <c r="I633" s="1"/>
      <c r="J633" s="1"/>
      <c r="K633" s="1"/>
      <c r="L633" s="1"/>
      <c r="M633" s="1"/>
      <c r="N633" s="1"/>
      <c r="O633" s="1"/>
      <c r="P633" s="1"/>
      <c r="Q633" s="1"/>
      <c r="R633" s="1"/>
      <c r="S633" s="1"/>
      <c r="T633" s="1"/>
    </row>
    <row r="634" spans="1:20" ht="13.5">
      <c r="A634" s="1"/>
      <c r="B634" s="1"/>
      <c r="C634" s="1"/>
      <c r="D634" s="1"/>
      <c r="E634" s="1"/>
      <c r="F634" s="1"/>
      <c r="G634" s="1"/>
      <c r="H634" s="1"/>
      <c r="I634" s="1"/>
      <c r="J634" s="1"/>
      <c r="K634" s="1"/>
      <c r="L634" s="1"/>
      <c r="M634" s="1"/>
      <c r="N634" s="1"/>
      <c r="O634" s="1"/>
      <c r="P634" s="1"/>
      <c r="Q634" s="1"/>
      <c r="R634" s="1"/>
      <c r="S634" s="1"/>
      <c r="T634" s="1"/>
    </row>
    <row r="635" spans="1:20" ht="13.5">
      <c r="A635" s="1"/>
      <c r="B635" s="1"/>
      <c r="C635" s="1"/>
      <c r="D635" s="1"/>
      <c r="E635" s="1"/>
      <c r="F635" s="1"/>
      <c r="G635" s="1"/>
      <c r="H635" s="1"/>
      <c r="I635" s="1"/>
      <c r="J635" s="1"/>
      <c r="K635" s="1"/>
      <c r="L635" s="1"/>
      <c r="M635" s="1"/>
      <c r="N635" s="1"/>
      <c r="O635" s="1"/>
      <c r="P635" s="1"/>
      <c r="Q635" s="1"/>
      <c r="R635" s="1"/>
      <c r="S635" s="1"/>
      <c r="T635" s="1"/>
    </row>
    <row r="636" spans="1:20" ht="13.5">
      <c r="A636" s="1"/>
      <c r="B636" s="1"/>
      <c r="C636" s="1"/>
      <c r="D636" s="1"/>
      <c r="E636" s="1"/>
      <c r="F636" s="1"/>
      <c r="G636" s="1"/>
      <c r="H636" s="1"/>
      <c r="I636" s="1"/>
      <c r="J636" s="1"/>
      <c r="K636" s="1"/>
      <c r="L636" s="1"/>
      <c r="M636" s="1"/>
      <c r="N636" s="1"/>
      <c r="O636" s="1"/>
      <c r="P636" s="1"/>
      <c r="Q636" s="1"/>
      <c r="R636" s="1"/>
      <c r="S636" s="1"/>
      <c r="T636" s="1"/>
    </row>
    <row r="637" spans="1:20" ht="13.5">
      <c r="A637" s="1"/>
      <c r="B637" s="1"/>
      <c r="C637" s="1"/>
      <c r="D637" s="1"/>
      <c r="E637" s="1"/>
      <c r="F637" s="1"/>
      <c r="G637" s="1"/>
      <c r="H637" s="1"/>
      <c r="I637" s="1"/>
      <c r="J637" s="1"/>
      <c r="K637" s="1"/>
      <c r="L637" s="1"/>
      <c r="M637" s="1"/>
      <c r="N637" s="1"/>
      <c r="O637" s="1"/>
      <c r="P637" s="1"/>
      <c r="Q637" s="1"/>
      <c r="R637" s="1"/>
      <c r="S637" s="1"/>
      <c r="T637" s="1"/>
    </row>
    <row r="638" spans="1:20" ht="13.5">
      <c r="A638" s="1"/>
      <c r="B638" s="1"/>
      <c r="C638" s="1"/>
      <c r="D638" s="1"/>
      <c r="E638" s="1"/>
      <c r="F638" s="1"/>
      <c r="G638" s="1"/>
      <c r="H638" s="1"/>
      <c r="I638" s="1"/>
      <c r="J638" s="1"/>
      <c r="K638" s="1"/>
      <c r="L638" s="1"/>
      <c r="M638" s="1"/>
      <c r="N638" s="1"/>
      <c r="O638" s="1"/>
      <c r="P638" s="1"/>
      <c r="Q638" s="1"/>
      <c r="R638" s="1"/>
      <c r="S638" s="1"/>
      <c r="T638" s="1"/>
    </row>
    <row r="639" spans="1:20" ht="13.5">
      <c r="A639" s="1"/>
      <c r="B639" s="1"/>
      <c r="C639" s="1"/>
      <c r="D639" s="1"/>
      <c r="E639" s="1"/>
      <c r="F639" s="1"/>
      <c r="G639" s="1"/>
      <c r="H639" s="1"/>
      <c r="I639" s="1"/>
      <c r="J639" s="1"/>
      <c r="K639" s="1"/>
      <c r="L639" s="1"/>
      <c r="M639" s="1"/>
      <c r="N639" s="1"/>
      <c r="O639" s="1"/>
      <c r="P639" s="1"/>
      <c r="Q639" s="1"/>
      <c r="R639" s="1"/>
      <c r="S639" s="1"/>
      <c r="T639" s="1"/>
    </row>
    <row r="640" spans="1:20" ht="13.5">
      <c r="A640" s="1"/>
      <c r="B640" s="1"/>
      <c r="C640" s="1"/>
      <c r="D640" s="1"/>
      <c r="E640" s="1"/>
      <c r="F640" s="1"/>
      <c r="G640" s="1"/>
      <c r="H640" s="1"/>
      <c r="I640" s="1"/>
      <c r="J640" s="1"/>
      <c r="K640" s="1"/>
      <c r="L640" s="1"/>
      <c r="M640" s="1"/>
      <c r="N640" s="1"/>
      <c r="O640" s="1"/>
      <c r="P640" s="1"/>
      <c r="Q640" s="1"/>
      <c r="R640" s="1"/>
      <c r="S640" s="1"/>
      <c r="T640" s="1"/>
    </row>
    <row r="641" spans="1:20" ht="13.5">
      <c r="A641" s="1"/>
      <c r="B641" s="1"/>
      <c r="C641" s="1"/>
      <c r="D641" s="1"/>
      <c r="E641" s="1"/>
      <c r="F641" s="1"/>
      <c r="G641" s="1"/>
      <c r="H641" s="1"/>
      <c r="I641" s="1"/>
      <c r="J641" s="1"/>
      <c r="K641" s="1"/>
      <c r="L641" s="1"/>
      <c r="M641" s="1"/>
      <c r="N641" s="1"/>
      <c r="O641" s="1"/>
      <c r="P641" s="1"/>
      <c r="Q641" s="1"/>
      <c r="R641" s="1"/>
      <c r="S641" s="1"/>
      <c r="T641" s="1"/>
    </row>
    <row r="642" spans="1:20" ht="13.5">
      <c r="A642" s="1"/>
      <c r="B642" s="1"/>
      <c r="C642" s="1"/>
      <c r="D642" s="1"/>
      <c r="E642" s="1"/>
      <c r="F642" s="1"/>
      <c r="G642" s="1"/>
      <c r="H642" s="1"/>
      <c r="I642" s="1"/>
      <c r="J642" s="1"/>
      <c r="K642" s="1"/>
      <c r="L642" s="1"/>
      <c r="M642" s="1"/>
      <c r="N642" s="1"/>
      <c r="O642" s="1"/>
      <c r="P642" s="1"/>
      <c r="Q642" s="1"/>
      <c r="R642" s="1"/>
      <c r="S642" s="1"/>
      <c r="T642" s="1"/>
    </row>
    <row r="643" spans="1:20" ht="13.5">
      <c r="A643" s="1"/>
      <c r="B643" s="1"/>
      <c r="C643" s="1"/>
      <c r="D643" s="1"/>
      <c r="E643" s="1"/>
      <c r="F643" s="1"/>
      <c r="G643" s="1"/>
      <c r="H643" s="1"/>
      <c r="I643" s="1"/>
      <c r="J643" s="1"/>
      <c r="K643" s="1"/>
      <c r="L643" s="1"/>
      <c r="M643" s="1"/>
      <c r="N643" s="1"/>
      <c r="O643" s="1"/>
      <c r="P643" s="1"/>
      <c r="Q643" s="1"/>
      <c r="R643" s="1"/>
      <c r="S643" s="1"/>
      <c r="T643" s="1"/>
    </row>
    <row r="644" spans="1:20" ht="13.5">
      <c r="A644" s="1"/>
      <c r="B644" s="1"/>
      <c r="C644" s="1"/>
      <c r="D644" s="1"/>
      <c r="E644" s="1"/>
      <c r="F644" s="1"/>
      <c r="G644" s="1"/>
      <c r="H644" s="1"/>
      <c r="I644" s="1"/>
      <c r="J644" s="1"/>
      <c r="K644" s="1"/>
      <c r="L644" s="1"/>
      <c r="M644" s="1"/>
      <c r="N644" s="1"/>
      <c r="O644" s="1"/>
      <c r="P644" s="1"/>
      <c r="Q644" s="1"/>
      <c r="R644" s="1"/>
      <c r="S644" s="1"/>
      <c r="T644" s="1"/>
    </row>
    <row r="645" spans="1:20" ht="13.5">
      <c r="A645" s="1"/>
      <c r="B645" s="1"/>
      <c r="C645" s="1"/>
      <c r="D645" s="1"/>
      <c r="E645" s="1"/>
      <c r="F645" s="1"/>
      <c r="G645" s="1"/>
      <c r="H645" s="1"/>
      <c r="I645" s="1"/>
      <c r="J645" s="1"/>
      <c r="K645" s="1"/>
      <c r="L645" s="1"/>
      <c r="M645" s="1"/>
      <c r="N645" s="1"/>
      <c r="O645" s="1"/>
      <c r="P645" s="1"/>
      <c r="Q645" s="1"/>
      <c r="R645" s="1"/>
      <c r="S645" s="1"/>
      <c r="T645" s="1"/>
    </row>
    <row r="646" spans="1:20" ht="13.5">
      <c r="A646" s="1"/>
      <c r="B646" s="1"/>
      <c r="C646" s="1"/>
      <c r="D646" s="1"/>
      <c r="E646" s="1"/>
      <c r="F646" s="1"/>
      <c r="G646" s="1"/>
      <c r="H646" s="1"/>
      <c r="I646" s="1"/>
      <c r="J646" s="1"/>
      <c r="K646" s="1"/>
      <c r="L646" s="1"/>
      <c r="M646" s="1"/>
      <c r="N646" s="1"/>
      <c r="O646" s="1"/>
      <c r="P646" s="1"/>
      <c r="Q646" s="1"/>
      <c r="R646" s="1"/>
      <c r="S646" s="1"/>
      <c r="T646" s="1"/>
    </row>
    <row r="647" spans="1:20" ht="13.5">
      <c r="A647" s="1"/>
      <c r="B647" s="1"/>
      <c r="C647" s="1"/>
      <c r="D647" s="1"/>
      <c r="E647" s="1"/>
      <c r="F647" s="1"/>
      <c r="G647" s="1"/>
      <c r="H647" s="1"/>
      <c r="I647" s="1"/>
      <c r="J647" s="1"/>
      <c r="K647" s="1"/>
      <c r="L647" s="1"/>
      <c r="M647" s="1"/>
      <c r="N647" s="1"/>
      <c r="O647" s="1"/>
      <c r="P647" s="1"/>
      <c r="Q647" s="1"/>
      <c r="R647" s="1"/>
      <c r="S647" s="1"/>
      <c r="T647" s="1"/>
    </row>
    <row r="648" spans="1:20" ht="13.5">
      <c r="A648" s="1"/>
      <c r="B648" s="1"/>
      <c r="C648" s="1"/>
      <c r="D648" s="1"/>
      <c r="E648" s="1"/>
      <c r="F648" s="1"/>
      <c r="G648" s="1"/>
      <c r="H648" s="1"/>
      <c r="I648" s="1"/>
      <c r="J648" s="1"/>
      <c r="K648" s="1"/>
      <c r="L648" s="1"/>
      <c r="M648" s="1"/>
      <c r="N648" s="1"/>
      <c r="O648" s="1"/>
      <c r="P648" s="1"/>
      <c r="Q648" s="1"/>
      <c r="R648" s="1"/>
      <c r="S648" s="1"/>
      <c r="T648" s="1"/>
    </row>
    <row r="649" spans="1:20" ht="13.5">
      <c r="A649" s="1"/>
      <c r="B649" s="1"/>
      <c r="C649" s="1"/>
      <c r="D649" s="1"/>
      <c r="E649" s="1"/>
      <c r="F649" s="1"/>
      <c r="G649" s="1"/>
      <c r="H649" s="1"/>
      <c r="I649" s="1"/>
      <c r="J649" s="1"/>
      <c r="K649" s="1"/>
      <c r="L649" s="1"/>
      <c r="M649" s="1"/>
      <c r="N649" s="1"/>
      <c r="O649" s="1"/>
      <c r="P649" s="1"/>
      <c r="Q649" s="1"/>
      <c r="R649" s="1"/>
      <c r="S649" s="1"/>
      <c r="T649" s="1"/>
    </row>
    <row r="650" spans="1:20" ht="13.5">
      <c r="A650" s="1"/>
      <c r="B650" s="1"/>
      <c r="C650" s="1"/>
      <c r="D650" s="1"/>
      <c r="E650" s="1"/>
      <c r="F650" s="1"/>
      <c r="G650" s="1"/>
      <c r="H650" s="1"/>
      <c r="I650" s="1"/>
      <c r="J650" s="1"/>
      <c r="K650" s="1"/>
      <c r="L650" s="1"/>
      <c r="M650" s="1"/>
      <c r="N650" s="1"/>
      <c r="O650" s="1"/>
      <c r="P650" s="1"/>
      <c r="Q650" s="1"/>
      <c r="R650" s="1"/>
      <c r="S650" s="1"/>
      <c r="T650" s="1"/>
    </row>
    <row r="651" spans="1:20" ht="13.5">
      <c r="A651" s="1"/>
      <c r="B651" s="1"/>
      <c r="C651" s="1"/>
      <c r="D651" s="1"/>
      <c r="E651" s="1"/>
      <c r="F651" s="1"/>
      <c r="G651" s="1"/>
      <c r="H651" s="1"/>
      <c r="I651" s="1"/>
      <c r="J651" s="1"/>
      <c r="K651" s="1"/>
      <c r="L651" s="1"/>
      <c r="M651" s="1"/>
      <c r="N651" s="1"/>
      <c r="O651" s="1"/>
      <c r="P651" s="1"/>
      <c r="Q651" s="1"/>
      <c r="R651" s="1"/>
      <c r="S651" s="1"/>
      <c r="T651" s="1"/>
    </row>
    <row r="652" spans="1:20" ht="13.5">
      <c r="A652" s="1"/>
      <c r="B652" s="1"/>
      <c r="C652" s="1"/>
      <c r="D652" s="1"/>
      <c r="E652" s="1"/>
      <c r="F652" s="1"/>
      <c r="G652" s="1"/>
      <c r="H652" s="1"/>
      <c r="I652" s="1"/>
      <c r="J652" s="1"/>
      <c r="K652" s="1"/>
      <c r="L652" s="1"/>
      <c r="M652" s="1"/>
      <c r="N652" s="1"/>
      <c r="O652" s="1"/>
      <c r="P652" s="1"/>
      <c r="Q652" s="1"/>
      <c r="R652" s="1"/>
      <c r="S652" s="1"/>
      <c r="T652" s="1"/>
    </row>
    <row r="653" spans="1:20" ht="13.5">
      <c r="A653" s="1"/>
      <c r="B653" s="1"/>
      <c r="C653" s="1"/>
      <c r="D653" s="1"/>
      <c r="E653" s="1"/>
      <c r="F653" s="1"/>
      <c r="G653" s="1"/>
      <c r="H653" s="1"/>
      <c r="I653" s="1"/>
      <c r="J653" s="1"/>
      <c r="K653" s="1"/>
      <c r="L653" s="1"/>
      <c r="M653" s="1"/>
      <c r="N653" s="1"/>
      <c r="O653" s="1"/>
      <c r="P653" s="1"/>
      <c r="Q653" s="1"/>
      <c r="R653" s="1"/>
      <c r="S653" s="1"/>
      <c r="T653" s="1"/>
    </row>
    <row r="654" spans="1:20" ht="13.5">
      <c r="A654" s="1"/>
      <c r="B654" s="1"/>
      <c r="C654" s="1"/>
      <c r="D654" s="1"/>
      <c r="E654" s="1"/>
      <c r="F654" s="1"/>
      <c r="G654" s="1"/>
      <c r="H654" s="1"/>
      <c r="I654" s="1"/>
      <c r="J654" s="1"/>
      <c r="K654" s="1"/>
      <c r="L654" s="1"/>
      <c r="M654" s="1"/>
      <c r="N654" s="1"/>
      <c r="O654" s="1"/>
      <c r="P654" s="1"/>
      <c r="Q654" s="1"/>
      <c r="R654" s="1"/>
      <c r="S654" s="1"/>
      <c r="T654" s="1"/>
    </row>
    <row r="655" spans="1:20" ht="13.5">
      <c r="A655" s="1"/>
      <c r="B655" s="1"/>
      <c r="C655" s="1"/>
      <c r="D655" s="1"/>
      <c r="E655" s="1"/>
      <c r="F655" s="1"/>
      <c r="G655" s="1"/>
      <c r="H655" s="1"/>
      <c r="I655" s="1"/>
      <c r="J655" s="1"/>
      <c r="K655" s="1"/>
      <c r="L655" s="1"/>
      <c r="M655" s="1"/>
      <c r="N655" s="1"/>
      <c r="O655" s="1"/>
      <c r="P655" s="1"/>
      <c r="Q655" s="1"/>
      <c r="R655" s="1"/>
      <c r="S655" s="1"/>
      <c r="T655" s="1"/>
    </row>
    <row r="656" spans="1:20" ht="13.5">
      <c r="A656" s="1"/>
      <c r="B656" s="1"/>
      <c r="C656" s="1"/>
      <c r="D656" s="1"/>
      <c r="E656" s="1"/>
      <c r="F656" s="1"/>
      <c r="G656" s="1"/>
      <c r="H656" s="1"/>
      <c r="I656" s="1"/>
      <c r="J656" s="1"/>
      <c r="K656" s="1"/>
      <c r="L656" s="1"/>
      <c r="M656" s="1"/>
      <c r="N656" s="1"/>
      <c r="O656" s="1"/>
      <c r="P656" s="1"/>
      <c r="Q656" s="1"/>
      <c r="R656" s="1"/>
      <c r="S656" s="1"/>
      <c r="T656" s="1"/>
    </row>
    <row r="657" spans="1:20" ht="13.5">
      <c r="A657" s="1"/>
      <c r="B657" s="1"/>
      <c r="C657" s="1"/>
      <c r="D657" s="1"/>
      <c r="E657" s="1"/>
      <c r="F657" s="1"/>
      <c r="G657" s="1"/>
      <c r="H657" s="1"/>
      <c r="I657" s="1"/>
      <c r="J657" s="1"/>
      <c r="K657" s="1"/>
      <c r="L657" s="1"/>
      <c r="M657" s="1"/>
      <c r="N657" s="1"/>
      <c r="O657" s="1"/>
      <c r="P657" s="1"/>
      <c r="Q657" s="1"/>
      <c r="R657" s="1"/>
      <c r="S657" s="1"/>
      <c r="T657" s="1"/>
    </row>
    <row r="658" spans="1:20" ht="13.5">
      <c r="A658" s="1"/>
      <c r="B658" s="1"/>
      <c r="C658" s="1"/>
      <c r="D658" s="1"/>
      <c r="E658" s="1"/>
      <c r="F658" s="1"/>
      <c r="G658" s="1"/>
      <c r="H658" s="1"/>
      <c r="I658" s="1"/>
      <c r="J658" s="1"/>
      <c r="K658" s="1"/>
      <c r="L658" s="1"/>
      <c r="M658" s="1"/>
      <c r="N658" s="1"/>
      <c r="O658" s="1"/>
      <c r="P658" s="1"/>
      <c r="Q658" s="1"/>
      <c r="R658" s="1"/>
      <c r="S658" s="1"/>
      <c r="T658" s="1"/>
    </row>
    <row r="659" spans="1:20" ht="13.5">
      <c r="A659" s="1"/>
      <c r="B659" s="1"/>
      <c r="C659" s="1"/>
      <c r="D659" s="1"/>
      <c r="E659" s="1"/>
      <c r="F659" s="1"/>
      <c r="G659" s="1"/>
      <c r="H659" s="1"/>
      <c r="I659" s="1"/>
      <c r="J659" s="1"/>
      <c r="K659" s="1"/>
      <c r="L659" s="1"/>
      <c r="M659" s="1"/>
      <c r="N659" s="1"/>
      <c r="O659" s="1"/>
      <c r="P659" s="1"/>
      <c r="Q659" s="1"/>
      <c r="R659" s="1"/>
      <c r="S659" s="1"/>
      <c r="T659" s="1"/>
    </row>
    <row r="660" spans="1:20" ht="13.5">
      <c r="A660" s="1"/>
      <c r="B660" s="1"/>
      <c r="C660" s="1"/>
      <c r="D660" s="1"/>
      <c r="E660" s="1"/>
      <c r="F660" s="1"/>
      <c r="G660" s="1"/>
      <c r="H660" s="1"/>
      <c r="I660" s="1"/>
      <c r="J660" s="1"/>
      <c r="K660" s="1"/>
      <c r="L660" s="1"/>
      <c r="M660" s="1"/>
      <c r="N660" s="1"/>
      <c r="O660" s="1"/>
      <c r="P660" s="1"/>
      <c r="Q660" s="1"/>
      <c r="R660" s="1"/>
      <c r="S660" s="1"/>
      <c r="T660" s="1"/>
    </row>
    <row r="661" spans="1:20" ht="13.5">
      <c r="A661" s="1"/>
      <c r="B661" s="1"/>
      <c r="C661" s="1"/>
      <c r="D661" s="1"/>
      <c r="E661" s="1"/>
      <c r="F661" s="1"/>
      <c r="G661" s="1"/>
      <c r="H661" s="1"/>
      <c r="I661" s="1"/>
      <c r="J661" s="1"/>
      <c r="K661" s="1"/>
      <c r="L661" s="1"/>
      <c r="M661" s="1"/>
      <c r="N661" s="1"/>
      <c r="O661" s="1"/>
      <c r="P661" s="1"/>
      <c r="Q661" s="1"/>
      <c r="R661" s="1"/>
      <c r="S661" s="1"/>
      <c r="T661" s="1"/>
    </row>
    <row r="662" spans="1:20" ht="13.5">
      <c r="A662" s="1"/>
      <c r="B662" s="1"/>
      <c r="C662" s="1"/>
      <c r="D662" s="1"/>
      <c r="E662" s="1"/>
      <c r="F662" s="1"/>
      <c r="G662" s="1"/>
      <c r="H662" s="1"/>
      <c r="I662" s="1"/>
      <c r="J662" s="1"/>
      <c r="K662" s="1"/>
      <c r="L662" s="1"/>
      <c r="M662" s="1"/>
      <c r="N662" s="1"/>
      <c r="O662" s="1"/>
      <c r="P662" s="1"/>
      <c r="Q662" s="1"/>
      <c r="R662" s="1"/>
      <c r="S662" s="1"/>
      <c r="T662" s="1"/>
    </row>
    <row r="663" spans="1:20" ht="13.5">
      <c r="A663" s="1"/>
      <c r="B663" s="1"/>
      <c r="C663" s="1"/>
      <c r="D663" s="1"/>
      <c r="E663" s="1"/>
      <c r="F663" s="1"/>
      <c r="G663" s="1"/>
      <c r="H663" s="1"/>
      <c r="I663" s="1"/>
      <c r="J663" s="1"/>
      <c r="K663" s="1"/>
      <c r="L663" s="1"/>
      <c r="M663" s="1"/>
      <c r="N663" s="1"/>
      <c r="O663" s="1"/>
      <c r="P663" s="1"/>
      <c r="Q663" s="1"/>
      <c r="R663" s="1"/>
      <c r="S663" s="1"/>
      <c r="T663" s="1"/>
    </row>
    <row r="664" spans="1:20" ht="13.5">
      <c r="A664" s="1"/>
      <c r="B664" s="1"/>
      <c r="C664" s="1"/>
      <c r="D664" s="1"/>
      <c r="E664" s="1"/>
      <c r="F664" s="1"/>
      <c r="G664" s="1"/>
      <c r="H664" s="1"/>
      <c r="I664" s="1"/>
      <c r="J664" s="1"/>
      <c r="K664" s="1"/>
      <c r="L664" s="1"/>
      <c r="M664" s="1"/>
      <c r="N664" s="1"/>
      <c r="O664" s="1"/>
      <c r="P664" s="1"/>
      <c r="Q664" s="1"/>
      <c r="R664" s="1"/>
      <c r="S664" s="1"/>
      <c r="T664" s="1"/>
    </row>
    <row r="665" spans="1:20" ht="13.5">
      <c r="A665" s="1"/>
      <c r="B665" s="1"/>
      <c r="C665" s="1"/>
      <c r="D665" s="1"/>
      <c r="E665" s="1"/>
      <c r="F665" s="1"/>
      <c r="G665" s="1"/>
      <c r="H665" s="1"/>
      <c r="I665" s="1"/>
      <c r="J665" s="1"/>
      <c r="K665" s="1"/>
      <c r="L665" s="1"/>
      <c r="M665" s="1"/>
      <c r="N665" s="1"/>
      <c r="O665" s="1"/>
      <c r="P665" s="1"/>
      <c r="Q665" s="1"/>
      <c r="R665" s="1"/>
      <c r="S665" s="1"/>
      <c r="T665" s="1"/>
    </row>
    <row r="666" spans="1:20" ht="13.5">
      <c r="A666" s="1"/>
      <c r="B666" s="1"/>
      <c r="C666" s="1"/>
      <c r="D666" s="1"/>
      <c r="E666" s="1"/>
      <c r="F666" s="1"/>
      <c r="G666" s="1"/>
      <c r="H666" s="1"/>
      <c r="I666" s="1"/>
      <c r="J666" s="1"/>
      <c r="K666" s="1"/>
      <c r="L666" s="1"/>
      <c r="M666" s="1"/>
      <c r="N666" s="1"/>
      <c r="O666" s="1"/>
      <c r="P666" s="1"/>
      <c r="Q666" s="1"/>
      <c r="R666" s="1"/>
      <c r="S666" s="1"/>
      <c r="T666" s="1"/>
    </row>
    <row r="667" spans="1:20" ht="13.5">
      <c r="A667" s="1"/>
      <c r="B667" s="1"/>
      <c r="C667" s="1"/>
      <c r="D667" s="1"/>
      <c r="E667" s="1"/>
      <c r="F667" s="1"/>
      <c r="G667" s="1"/>
      <c r="H667" s="1"/>
      <c r="I667" s="1"/>
      <c r="J667" s="1"/>
      <c r="K667" s="1"/>
      <c r="L667" s="1"/>
      <c r="M667" s="1"/>
      <c r="N667" s="1"/>
      <c r="O667" s="1"/>
      <c r="P667" s="1"/>
      <c r="Q667" s="1"/>
      <c r="R667" s="1"/>
      <c r="S667" s="1"/>
      <c r="T667" s="1"/>
    </row>
    <row r="668" spans="1:20" ht="13.5">
      <c r="A668" s="1"/>
      <c r="B668" s="1"/>
      <c r="C668" s="1"/>
      <c r="D668" s="1"/>
      <c r="E668" s="1"/>
      <c r="F668" s="1"/>
      <c r="G668" s="1"/>
      <c r="H668" s="1"/>
      <c r="I668" s="1"/>
      <c r="J668" s="1"/>
      <c r="K668" s="1"/>
      <c r="L668" s="1"/>
      <c r="M668" s="1"/>
      <c r="N668" s="1"/>
      <c r="O668" s="1"/>
      <c r="P668" s="1"/>
      <c r="Q668" s="1"/>
      <c r="R668" s="1"/>
      <c r="S668" s="1"/>
      <c r="T668" s="1"/>
    </row>
    <row r="669" spans="1:20" ht="13.5">
      <c r="A669" s="1"/>
      <c r="B669" s="1"/>
      <c r="C669" s="1"/>
      <c r="D669" s="1"/>
      <c r="E669" s="1"/>
      <c r="F669" s="1"/>
      <c r="G669" s="1"/>
      <c r="H669" s="1"/>
      <c r="I669" s="1"/>
      <c r="J669" s="1"/>
      <c r="K669" s="1"/>
      <c r="L669" s="1"/>
      <c r="M669" s="1"/>
      <c r="N669" s="1"/>
      <c r="O669" s="1"/>
      <c r="P669" s="1"/>
      <c r="Q669" s="1"/>
      <c r="R669" s="1"/>
      <c r="S669" s="1"/>
      <c r="T669" s="1"/>
    </row>
    <row r="670" spans="1:20" ht="13.5">
      <c r="A670" s="1"/>
      <c r="B670" s="1"/>
      <c r="C670" s="1"/>
      <c r="D670" s="1"/>
      <c r="E670" s="1"/>
      <c r="F670" s="1"/>
      <c r="G670" s="1"/>
      <c r="H670" s="1"/>
      <c r="I670" s="1"/>
      <c r="J670" s="1"/>
      <c r="K670" s="1"/>
      <c r="L670" s="1"/>
      <c r="M670" s="1"/>
      <c r="N670" s="1"/>
      <c r="O670" s="1"/>
      <c r="P670" s="1"/>
      <c r="Q670" s="1"/>
      <c r="R670" s="1"/>
      <c r="S670" s="1"/>
      <c r="T670" s="1"/>
    </row>
    <row r="671" spans="1:20" ht="13.5">
      <c r="A671" s="1"/>
      <c r="B671" s="1"/>
      <c r="C671" s="1"/>
      <c r="D671" s="1"/>
      <c r="E671" s="1"/>
      <c r="F671" s="1"/>
      <c r="G671" s="1"/>
      <c r="H671" s="1"/>
      <c r="I671" s="1"/>
      <c r="J671" s="1"/>
      <c r="K671" s="1"/>
      <c r="L671" s="1"/>
      <c r="M671" s="1"/>
      <c r="N671" s="1"/>
      <c r="O671" s="1"/>
      <c r="P671" s="1"/>
      <c r="Q671" s="1"/>
      <c r="R671" s="1"/>
      <c r="S671" s="1"/>
      <c r="T671" s="1"/>
    </row>
    <row r="672" spans="1:20" ht="13.5">
      <c r="A672" s="1"/>
      <c r="B672" s="1"/>
      <c r="C672" s="1"/>
      <c r="D672" s="1"/>
      <c r="E672" s="1"/>
      <c r="F672" s="1"/>
      <c r="G672" s="1"/>
      <c r="H672" s="1"/>
      <c r="I672" s="1"/>
      <c r="J672" s="1"/>
      <c r="K672" s="1"/>
      <c r="L672" s="1"/>
      <c r="M672" s="1"/>
      <c r="N672" s="1"/>
      <c r="O672" s="1"/>
      <c r="P672" s="1"/>
      <c r="Q672" s="1"/>
      <c r="R672" s="1"/>
      <c r="S672" s="1"/>
      <c r="T672" s="1"/>
    </row>
    <row r="673" spans="1:20" ht="13.5">
      <c r="A673" s="1"/>
      <c r="B673" s="1"/>
      <c r="C673" s="1"/>
      <c r="D673" s="1"/>
      <c r="E673" s="1"/>
      <c r="F673" s="1"/>
      <c r="G673" s="1"/>
      <c r="H673" s="1"/>
      <c r="I673" s="1"/>
      <c r="J673" s="1"/>
      <c r="K673" s="1"/>
      <c r="L673" s="1"/>
      <c r="M673" s="1"/>
      <c r="N673" s="1"/>
      <c r="O673" s="1"/>
      <c r="P673" s="1"/>
      <c r="Q673" s="1"/>
      <c r="R673" s="1"/>
      <c r="S673" s="1"/>
      <c r="T673" s="1"/>
    </row>
    <row r="674" spans="1:20" ht="13.5">
      <c r="A674" s="1"/>
      <c r="B674" s="1"/>
      <c r="C674" s="1"/>
      <c r="D674" s="1"/>
      <c r="E674" s="1"/>
      <c r="F674" s="1"/>
      <c r="G674" s="1"/>
      <c r="H674" s="1"/>
      <c r="I674" s="1"/>
      <c r="J674" s="1"/>
      <c r="K674" s="1"/>
      <c r="L674" s="1"/>
      <c r="M674" s="1"/>
      <c r="N674" s="1"/>
      <c r="O674" s="1"/>
      <c r="P674" s="1"/>
      <c r="Q674" s="1"/>
      <c r="R674" s="1"/>
      <c r="S674" s="1"/>
      <c r="T674" s="1"/>
    </row>
    <row r="675" spans="1:20" ht="13.5">
      <c r="A675" s="1"/>
      <c r="B675" s="1"/>
      <c r="C675" s="1"/>
      <c r="D675" s="1"/>
      <c r="E675" s="1"/>
      <c r="F675" s="1"/>
      <c r="G675" s="1"/>
      <c r="H675" s="1"/>
      <c r="I675" s="1"/>
      <c r="J675" s="1"/>
      <c r="K675" s="1"/>
      <c r="L675" s="1"/>
      <c r="M675" s="1"/>
      <c r="N675" s="1"/>
      <c r="O675" s="1"/>
      <c r="P675" s="1"/>
      <c r="Q675" s="1"/>
      <c r="R675" s="1"/>
      <c r="S675" s="1"/>
      <c r="T675" s="1"/>
    </row>
    <row r="676" spans="1:20" ht="13.5">
      <c r="A676" s="1"/>
      <c r="B676" s="1"/>
      <c r="C676" s="1"/>
      <c r="D676" s="1"/>
      <c r="E676" s="1"/>
      <c r="F676" s="1"/>
      <c r="G676" s="1"/>
      <c r="H676" s="1"/>
      <c r="I676" s="1"/>
      <c r="J676" s="1"/>
      <c r="K676" s="1"/>
      <c r="L676" s="1"/>
      <c r="M676" s="1"/>
      <c r="N676" s="1"/>
      <c r="O676" s="1"/>
      <c r="P676" s="1"/>
      <c r="Q676" s="1"/>
      <c r="R676" s="1"/>
      <c r="S676" s="1"/>
      <c r="T676" s="1"/>
    </row>
    <row r="677" spans="1:20" ht="13.5">
      <c r="A677" s="1"/>
      <c r="B677" s="1"/>
      <c r="C677" s="1"/>
      <c r="D677" s="1"/>
      <c r="E677" s="1"/>
      <c r="F677" s="1"/>
      <c r="G677" s="1"/>
      <c r="H677" s="1"/>
      <c r="I677" s="1"/>
      <c r="J677" s="1"/>
      <c r="K677" s="1"/>
      <c r="L677" s="1"/>
      <c r="M677" s="1"/>
      <c r="N677" s="1"/>
      <c r="O677" s="1"/>
      <c r="P677" s="1"/>
      <c r="Q677" s="1"/>
      <c r="R677" s="1"/>
      <c r="S677" s="1"/>
      <c r="T677" s="1"/>
    </row>
    <row r="678" spans="1:20" ht="13.5">
      <c r="A678" s="1"/>
      <c r="B678" s="1"/>
      <c r="C678" s="1"/>
      <c r="D678" s="1"/>
      <c r="E678" s="1"/>
      <c r="F678" s="1"/>
      <c r="G678" s="1"/>
      <c r="H678" s="1"/>
      <c r="I678" s="1"/>
      <c r="J678" s="1"/>
      <c r="K678" s="1"/>
      <c r="L678" s="1"/>
      <c r="M678" s="1"/>
      <c r="N678" s="1"/>
      <c r="O678" s="1"/>
      <c r="P678" s="1"/>
      <c r="Q678" s="1"/>
      <c r="R678" s="1"/>
      <c r="S678" s="1"/>
      <c r="T678" s="1"/>
    </row>
    <row r="679" spans="1:20" ht="13.5">
      <c r="A679" s="1"/>
      <c r="B679" s="1"/>
      <c r="C679" s="1"/>
      <c r="D679" s="1"/>
      <c r="E679" s="1"/>
      <c r="F679" s="1"/>
      <c r="G679" s="1"/>
      <c r="H679" s="1"/>
      <c r="I679" s="1"/>
      <c r="J679" s="1"/>
      <c r="K679" s="1"/>
      <c r="L679" s="1"/>
      <c r="M679" s="1"/>
      <c r="N679" s="1"/>
      <c r="O679" s="1"/>
      <c r="P679" s="1"/>
      <c r="Q679" s="1"/>
      <c r="R679" s="1"/>
      <c r="S679" s="1"/>
      <c r="T679" s="1"/>
    </row>
    <row r="680" spans="1:20" ht="13.5">
      <c r="A680" s="1"/>
      <c r="B680" s="1"/>
      <c r="C680" s="1"/>
      <c r="D680" s="1"/>
      <c r="E680" s="1"/>
      <c r="F680" s="1"/>
      <c r="G680" s="1"/>
      <c r="H680" s="1"/>
      <c r="I680" s="1"/>
      <c r="J680" s="1"/>
      <c r="K680" s="1"/>
      <c r="L680" s="1"/>
      <c r="M680" s="1"/>
      <c r="N680" s="1"/>
      <c r="O680" s="1"/>
      <c r="P680" s="1"/>
      <c r="Q680" s="1"/>
      <c r="R680" s="1"/>
      <c r="S680" s="1"/>
      <c r="T680" s="1"/>
    </row>
    <row r="681" spans="1:20" ht="13.5">
      <c r="A681" s="1"/>
      <c r="B681" s="1"/>
      <c r="C681" s="1"/>
      <c r="D681" s="1"/>
      <c r="E681" s="1"/>
      <c r="F681" s="1"/>
      <c r="G681" s="1"/>
      <c r="H681" s="1"/>
      <c r="I681" s="1"/>
      <c r="J681" s="1"/>
      <c r="K681" s="1"/>
      <c r="L681" s="1"/>
      <c r="M681" s="1"/>
      <c r="N681" s="1"/>
      <c r="O681" s="1"/>
      <c r="P681" s="1"/>
      <c r="Q681" s="1"/>
      <c r="R681" s="1"/>
      <c r="S681" s="1"/>
      <c r="T681" s="1"/>
    </row>
    <row r="682" spans="1:20" ht="13.5">
      <c r="A682" s="1"/>
      <c r="B682" s="1"/>
      <c r="C682" s="1"/>
      <c r="D682" s="1"/>
      <c r="E682" s="1"/>
      <c r="F682" s="1"/>
      <c r="G682" s="1"/>
      <c r="H682" s="1"/>
      <c r="I682" s="1"/>
      <c r="J682" s="1"/>
      <c r="K682" s="1"/>
      <c r="L682" s="1"/>
      <c r="M682" s="1"/>
      <c r="N682" s="1"/>
      <c r="O682" s="1"/>
      <c r="P682" s="1"/>
      <c r="Q682" s="1"/>
      <c r="R682" s="1"/>
      <c r="S682" s="1"/>
      <c r="T682" s="1"/>
    </row>
    <row r="683" spans="1:20" ht="13.5">
      <c r="A683" s="1"/>
      <c r="B683" s="1"/>
      <c r="C683" s="1"/>
      <c r="D683" s="1"/>
      <c r="E683" s="1"/>
      <c r="F683" s="1"/>
      <c r="G683" s="1"/>
      <c r="H683" s="1"/>
      <c r="I683" s="1"/>
      <c r="J683" s="1"/>
      <c r="K683" s="1"/>
      <c r="L683" s="1"/>
      <c r="M683" s="1"/>
      <c r="N683" s="1"/>
      <c r="O683" s="1"/>
      <c r="P683" s="1"/>
      <c r="Q683" s="1"/>
      <c r="R683" s="1"/>
      <c r="S683" s="1"/>
      <c r="T683" s="1"/>
    </row>
    <row r="684" spans="1:20" ht="13.5">
      <c r="A684" s="1"/>
      <c r="B684" s="1"/>
      <c r="C684" s="1"/>
      <c r="D684" s="1"/>
      <c r="E684" s="1"/>
      <c r="F684" s="1"/>
      <c r="G684" s="1"/>
      <c r="H684" s="1"/>
      <c r="I684" s="1"/>
      <c r="J684" s="1"/>
      <c r="K684" s="1"/>
      <c r="L684" s="1"/>
      <c r="M684" s="1"/>
      <c r="N684" s="1"/>
      <c r="O684" s="1"/>
      <c r="P684" s="1"/>
      <c r="Q684" s="1"/>
      <c r="R684" s="1"/>
      <c r="S684" s="1"/>
      <c r="T684" s="1"/>
    </row>
    <row r="685" spans="1:20" ht="13.5">
      <c r="A685" s="1"/>
      <c r="B685" s="1"/>
      <c r="C685" s="1"/>
      <c r="D685" s="1"/>
      <c r="E685" s="1"/>
      <c r="F685" s="1"/>
      <c r="G685" s="1"/>
      <c r="H685" s="1"/>
      <c r="I685" s="1"/>
      <c r="J685" s="1"/>
      <c r="K685" s="1"/>
      <c r="L685" s="1"/>
      <c r="M685" s="1"/>
      <c r="N685" s="1"/>
      <c r="O685" s="1"/>
      <c r="P685" s="1"/>
      <c r="Q685" s="1"/>
      <c r="R685" s="1"/>
      <c r="S685" s="1"/>
      <c r="T685" s="1"/>
    </row>
    <row r="686" spans="1:20" ht="13.5">
      <c r="A686" s="1"/>
      <c r="B686" s="1"/>
      <c r="C686" s="1"/>
      <c r="D686" s="1"/>
      <c r="E686" s="1"/>
      <c r="F686" s="1"/>
      <c r="G686" s="1"/>
      <c r="H686" s="1"/>
      <c r="I686" s="1"/>
      <c r="J686" s="1"/>
      <c r="K686" s="1"/>
      <c r="L686" s="1"/>
      <c r="M686" s="1"/>
      <c r="N686" s="1"/>
      <c r="O686" s="1"/>
      <c r="P686" s="1"/>
      <c r="Q686" s="1"/>
      <c r="R686" s="1"/>
      <c r="S686" s="1"/>
      <c r="T686" s="1"/>
    </row>
    <row r="687" spans="1:20" ht="13.5">
      <c r="A687" s="1"/>
      <c r="B687" s="1"/>
      <c r="C687" s="1"/>
      <c r="D687" s="1"/>
      <c r="E687" s="1"/>
      <c r="F687" s="1"/>
      <c r="G687" s="1"/>
      <c r="H687" s="1"/>
      <c r="I687" s="1"/>
      <c r="J687" s="1"/>
      <c r="K687" s="1"/>
      <c r="L687" s="1"/>
      <c r="M687" s="1"/>
      <c r="N687" s="1"/>
      <c r="O687" s="1"/>
      <c r="P687" s="1"/>
      <c r="Q687" s="1"/>
      <c r="R687" s="1"/>
      <c r="S687" s="1"/>
      <c r="T687" s="1"/>
    </row>
    <row r="688" spans="1:20" ht="13.5">
      <c r="A688" s="1"/>
      <c r="B688" s="1"/>
      <c r="C688" s="1"/>
      <c r="D688" s="1"/>
      <c r="E688" s="1"/>
      <c r="F688" s="1"/>
      <c r="G688" s="1"/>
      <c r="H688" s="1"/>
      <c r="I688" s="1"/>
      <c r="J688" s="1"/>
      <c r="K688" s="1"/>
      <c r="L688" s="1"/>
      <c r="M688" s="1"/>
      <c r="N688" s="1"/>
      <c r="O688" s="1"/>
      <c r="P688" s="1"/>
      <c r="Q688" s="1"/>
      <c r="R688" s="1"/>
      <c r="S688" s="1"/>
      <c r="T688" s="1"/>
    </row>
    <row r="689" spans="1:20" ht="13.5">
      <c r="A689" s="1"/>
      <c r="B689" s="1"/>
      <c r="C689" s="1"/>
      <c r="D689" s="1"/>
      <c r="E689" s="1"/>
      <c r="F689" s="1"/>
      <c r="G689" s="1"/>
      <c r="H689" s="1"/>
      <c r="I689" s="1"/>
      <c r="J689" s="1"/>
      <c r="K689" s="1"/>
      <c r="L689" s="1"/>
      <c r="M689" s="1"/>
      <c r="N689" s="1"/>
      <c r="O689" s="1"/>
      <c r="P689" s="1"/>
      <c r="Q689" s="1"/>
      <c r="R689" s="1"/>
      <c r="S689" s="1"/>
      <c r="T689" s="1"/>
    </row>
    <row r="690" spans="1:20" ht="13.5">
      <c r="A690" s="1"/>
      <c r="B690" s="1"/>
      <c r="C690" s="1"/>
      <c r="D690" s="1"/>
      <c r="E690" s="1"/>
      <c r="F690" s="1"/>
      <c r="G690" s="1"/>
      <c r="H690" s="1"/>
      <c r="I690" s="1"/>
      <c r="J690" s="1"/>
      <c r="K690" s="1"/>
      <c r="L690" s="1"/>
      <c r="M690" s="1"/>
      <c r="N690" s="1"/>
      <c r="O690" s="1"/>
      <c r="P690" s="1"/>
      <c r="Q690" s="1"/>
      <c r="R690" s="1"/>
      <c r="S690" s="1"/>
      <c r="T690" s="1"/>
    </row>
    <row r="691" spans="1:20" ht="13.5">
      <c r="A691" s="1"/>
      <c r="B691" s="1"/>
      <c r="C691" s="1"/>
      <c r="D691" s="1"/>
      <c r="E691" s="1"/>
      <c r="F691" s="1"/>
      <c r="G691" s="1"/>
      <c r="H691" s="1"/>
      <c r="I691" s="1"/>
      <c r="J691" s="1"/>
      <c r="K691" s="1"/>
      <c r="L691" s="1"/>
      <c r="M691" s="1"/>
      <c r="N691" s="1"/>
      <c r="O691" s="1"/>
      <c r="P691" s="1"/>
      <c r="Q691" s="1"/>
      <c r="R691" s="1"/>
      <c r="S691" s="1"/>
      <c r="T691" s="1"/>
    </row>
    <row r="692" spans="1:20" ht="13.5">
      <c r="A692" s="1"/>
      <c r="B692" s="1"/>
      <c r="C692" s="1"/>
      <c r="D692" s="1"/>
      <c r="E692" s="1"/>
      <c r="F692" s="1"/>
      <c r="G692" s="1"/>
      <c r="H692" s="1"/>
      <c r="I692" s="1"/>
      <c r="J692" s="1"/>
      <c r="K692" s="1"/>
      <c r="L692" s="1"/>
      <c r="M692" s="1"/>
      <c r="N692" s="1"/>
      <c r="O692" s="1"/>
      <c r="P692" s="1"/>
      <c r="Q692" s="1"/>
      <c r="R692" s="1"/>
      <c r="S692" s="1"/>
      <c r="T692" s="1"/>
    </row>
    <row r="693" spans="1:20" ht="13.5">
      <c r="A693" s="1"/>
      <c r="B693" s="1"/>
      <c r="C693" s="1"/>
      <c r="D693" s="1"/>
      <c r="E693" s="1"/>
      <c r="F693" s="1"/>
      <c r="G693" s="1"/>
      <c r="H693" s="1"/>
      <c r="I693" s="1"/>
      <c r="J693" s="1"/>
      <c r="K693" s="1"/>
      <c r="L693" s="1"/>
      <c r="M693" s="1"/>
      <c r="N693" s="1"/>
      <c r="O693" s="1"/>
      <c r="P693" s="1"/>
      <c r="Q693" s="1"/>
      <c r="R693" s="1"/>
      <c r="S693" s="1"/>
      <c r="T693" s="1"/>
    </row>
    <row r="694" spans="1:20" ht="13.5">
      <c r="A694" s="1"/>
      <c r="B694" s="1"/>
      <c r="C694" s="1"/>
      <c r="D694" s="1"/>
      <c r="E694" s="1"/>
      <c r="F694" s="1"/>
      <c r="G694" s="1"/>
      <c r="H694" s="1"/>
      <c r="I694" s="1"/>
      <c r="J694" s="1"/>
      <c r="K694" s="1"/>
      <c r="L694" s="1"/>
      <c r="M694" s="1"/>
      <c r="N694" s="1"/>
      <c r="O694" s="1"/>
      <c r="P694" s="1"/>
      <c r="Q694" s="1"/>
      <c r="R694" s="1"/>
      <c r="S694" s="1"/>
      <c r="T694" s="1"/>
    </row>
    <row r="695" spans="1:20" ht="13.5">
      <c r="A695" s="1"/>
      <c r="B695" s="1"/>
      <c r="C695" s="1"/>
      <c r="D695" s="1"/>
      <c r="E695" s="1"/>
      <c r="F695" s="1"/>
      <c r="G695" s="1"/>
      <c r="H695" s="1"/>
      <c r="I695" s="1"/>
      <c r="J695" s="1"/>
      <c r="K695" s="1"/>
      <c r="L695" s="1"/>
      <c r="M695" s="1"/>
      <c r="N695" s="1"/>
      <c r="O695" s="1"/>
      <c r="P695" s="1"/>
      <c r="Q695" s="1"/>
      <c r="R695" s="1"/>
      <c r="S695" s="1"/>
      <c r="T695" s="1"/>
    </row>
    <row r="696" spans="1:20" ht="13.5">
      <c r="A696" s="1"/>
      <c r="B696" s="1"/>
      <c r="C696" s="1"/>
      <c r="D696" s="1"/>
      <c r="E696" s="1"/>
      <c r="F696" s="1"/>
      <c r="G696" s="1"/>
      <c r="H696" s="1"/>
      <c r="I696" s="1"/>
      <c r="J696" s="1"/>
      <c r="K696" s="1"/>
      <c r="L696" s="1"/>
      <c r="M696" s="1"/>
      <c r="N696" s="1"/>
      <c r="O696" s="1"/>
      <c r="P696" s="1"/>
      <c r="Q696" s="1"/>
      <c r="R696" s="1"/>
      <c r="S696" s="1"/>
      <c r="T696" s="1"/>
    </row>
    <row r="697" spans="1:20" ht="13.5">
      <c r="A697" s="1"/>
      <c r="B697" s="1"/>
      <c r="C697" s="1"/>
      <c r="D697" s="1"/>
      <c r="E697" s="1"/>
      <c r="F697" s="1"/>
      <c r="G697" s="1"/>
      <c r="H697" s="1"/>
      <c r="I697" s="1"/>
      <c r="J697" s="1"/>
      <c r="K697" s="1"/>
      <c r="L697" s="1"/>
      <c r="M697" s="1"/>
      <c r="N697" s="1"/>
      <c r="O697" s="1"/>
      <c r="P697" s="1"/>
      <c r="Q697" s="1"/>
      <c r="R697" s="1"/>
      <c r="S697" s="1"/>
      <c r="T697" s="1"/>
    </row>
    <row r="698" spans="1:20" ht="13.5">
      <c r="A698" s="1"/>
      <c r="B698" s="1"/>
      <c r="C698" s="1"/>
      <c r="D698" s="1"/>
      <c r="E698" s="1"/>
      <c r="F698" s="1"/>
      <c r="G698" s="1"/>
      <c r="H698" s="1"/>
      <c r="I698" s="1"/>
      <c r="J698" s="1"/>
      <c r="K698" s="1"/>
      <c r="L698" s="1"/>
      <c r="M698" s="1"/>
      <c r="N698" s="1"/>
      <c r="O698" s="1"/>
      <c r="P698" s="1"/>
      <c r="Q698" s="1"/>
      <c r="R698" s="1"/>
      <c r="S698" s="1"/>
      <c r="T698" s="1"/>
    </row>
    <row r="699" spans="1:20" ht="13.5">
      <c r="A699" s="1"/>
      <c r="B699" s="1"/>
      <c r="C699" s="1"/>
      <c r="D699" s="1"/>
      <c r="E699" s="1"/>
      <c r="F699" s="1"/>
      <c r="G699" s="1"/>
      <c r="H699" s="1"/>
      <c r="I699" s="1"/>
      <c r="J699" s="1"/>
      <c r="K699" s="1"/>
      <c r="L699" s="1"/>
      <c r="M699" s="1"/>
      <c r="N699" s="1"/>
      <c r="O699" s="1"/>
      <c r="P699" s="1"/>
      <c r="Q699" s="1"/>
      <c r="R699" s="1"/>
      <c r="S699" s="1"/>
      <c r="T699" s="1"/>
    </row>
    <row r="700" spans="1:20" ht="13.5">
      <c r="A700" s="1"/>
      <c r="B700" s="1"/>
      <c r="C700" s="1"/>
      <c r="D700" s="1"/>
      <c r="E700" s="1"/>
      <c r="F700" s="1"/>
      <c r="G700" s="1"/>
      <c r="H700" s="1"/>
      <c r="I700" s="1"/>
      <c r="J700" s="1"/>
      <c r="K700" s="1"/>
      <c r="L700" s="1"/>
      <c r="M700" s="1"/>
      <c r="N700" s="1"/>
      <c r="O700" s="1"/>
      <c r="P700" s="1"/>
      <c r="Q700" s="1"/>
      <c r="R700" s="1"/>
      <c r="S700" s="1"/>
      <c r="T700" s="1"/>
    </row>
    <row r="701" spans="1:20" ht="13.5">
      <c r="A701" s="1"/>
      <c r="B701" s="1"/>
      <c r="C701" s="1"/>
      <c r="D701" s="1"/>
      <c r="E701" s="1"/>
      <c r="F701" s="1"/>
      <c r="G701" s="1"/>
      <c r="H701" s="1"/>
      <c r="I701" s="1"/>
      <c r="J701" s="1"/>
      <c r="K701" s="1"/>
      <c r="L701" s="1"/>
      <c r="M701" s="1"/>
      <c r="N701" s="1"/>
      <c r="O701" s="1"/>
      <c r="P701" s="1"/>
      <c r="Q701" s="1"/>
      <c r="R701" s="1"/>
      <c r="S701" s="1"/>
      <c r="T701" s="1"/>
    </row>
    <row r="702" spans="1:20" ht="13.5">
      <c r="A702" s="1"/>
      <c r="B702" s="1"/>
      <c r="C702" s="1"/>
      <c r="D702" s="1"/>
      <c r="E702" s="1"/>
      <c r="F702" s="1"/>
      <c r="G702" s="1"/>
      <c r="H702" s="1"/>
      <c r="I702" s="1"/>
      <c r="J702" s="1"/>
      <c r="K702" s="1"/>
      <c r="L702" s="1"/>
      <c r="M702" s="1"/>
      <c r="N702" s="1"/>
      <c r="O702" s="1"/>
      <c r="P702" s="1"/>
      <c r="Q702" s="1"/>
      <c r="R702" s="1"/>
      <c r="S702" s="1"/>
      <c r="T702" s="1"/>
    </row>
    <row r="703" spans="1:20" ht="13.5">
      <c r="A703" s="1"/>
      <c r="B703" s="1"/>
      <c r="C703" s="1"/>
      <c r="D703" s="1"/>
      <c r="E703" s="1"/>
      <c r="F703" s="1"/>
      <c r="G703" s="1"/>
      <c r="H703" s="1"/>
      <c r="I703" s="1"/>
      <c r="J703" s="1"/>
      <c r="K703" s="1"/>
      <c r="L703" s="1"/>
      <c r="M703" s="1"/>
      <c r="N703" s="1"/>
      <c r="O703" s="1"/>
      <c r="P703" s="1"/>
      <c r="Q703" s="1"/>
      <c r="R703" s="1"/>
      <c r="S703" s="1"/>
      <c r="T703" s="1"/>
    </row>
    <row r="704" spans="1:20" ht="13.5">
      <c r="A704" s="1"/>
      <c r="B704" s="1"/>
      <c r="C704" s="1"/>
      <c r="D704" s="1"/>
      <c r="E704" s="1"/>
      <c r="F704" s="1"/>
      <c r="G704" s="1"/>
      <c r="H704" s="1"/>
      <c r="I704" s="1"/>
      <c r="J704" s="1"/>
      <c r="K704" s="1"/>
      <c r="L704" s="1"/>
      <c r="M704" s="1"/>
      <c r="N704" s="1"/>
      <c r="O704" s="1"/>
      <c r="P704" s="1"/>
      <c r="Q704" s="1"/>
      <c r="R704" s="1"/>
      <c r="S704" s="1"/>
      <c r="T704" s="1"/>
    </row>
    <row r="705" spans="1:20" ht="13.5">
      <c r="A705" s="1"/>
      <c r="B705" s="1"/>
      <c r="C705" s="1"/>
      <c r="D705" s="1"/>
      <c r="E705" s="1"/>
      <c r="F705" s="1"/>
      <c r="G705" s="1"/>
      <c r="H705" s="1"/>
      <c r="I705" s="1"/>
      <c r="J705" s="1"/>
      <c r="K705" s="1"/>
      <c r="L705" s="1"/>
      <c r="M705" s="1"/>
      <c r="N705" s="1"/>
      <c r="O705" s="1"/>
      <c r="P705" s="1"/>
      <c r="Q705" s="1"/>
      <c r="R705" s="1"/>
      <c r="S705" s="1"/>
      <c r="T705" s="1"/>
    </row>
    <row r="706" spans="1:20" ht="13.5">
      <c r="A706" s="1"/>
      <c r="B706" s="1"/>
      <c r="C706" s="1"/>
      <c r="D706" s="1"/>
      <c r="E706" s="1"/>
      <c r="F706" s="1"/>
      <c r="G706" s="1"/>
      <c r="H706" s="1"/>
      <c r="I706" s="1"/>
      <c r="J706" s="1"/>
      <c r="K706" s="1"/>
      <c r="L706" s="1"/>
      <c r="M706" s="1"/>
      <c r="N706" s="1"/>
      <c r="O706" s="1"/>
      <c r="P706" s="1"/>
      <c r="Q706" s="1"/>
      <c r="R706" s="1"/>
      <c r="S706" s="1"/>
      <c r="T706" s="1"/>
    </row>
    <row r="707" spans="1:20" ht="13.5">
      <c r="A707" s="1"/>
      <c r="B707" s="1"/>
      <c r="C707" s="1"/>
      <c r="D707" s="1"/>
      <c r="E707" s="1"/>
      <c r="F707" s="1"/>
      <c r="G707" s="1"/>
      <c r="H707" s="1"/>
      <c r="I707" s="1"/>
      <c r="J707" s="1"/>
      <c r="K707" s="1"/>
      <c r="L707" s="1"/>
      <c r="M707" s="1"/>
      <c r="N707" s="1"/>
      <c r="O707" s="1"/>
      <c r="P707" s="1"/>
      <c r="Q707" s="1"/>
      <c r="R707" s="1"/>
      <c r="S707" s="1"/>
      <c r="T707" s="1"/>
    </row>
    <row r="708" spans="1:20" ht="13.5">
      <c r="A708" s="1"/>
      <c r="B708" s="1"/>
      <c r="C708" s="1"/>
      <c r="D708" s="1"/>
      <c r="E708" s="1"/>
      <c r="F708" s="1"/>
      <c r="G708" s="1"/>
      <c r="H708" s="1"/>
      <c r="I708" s="1"/>
      <c r="J708" s="1"/>
      <c r="K708" s="1"/>
      <c r="L708" s="1"/>
      <c r="M708" s="1"/>
      <c r="N708" s="1"/>
      <c r="O708" s="1"/>
      <c r="P708" s="1"/>
      <c r="Q708" s="1"/>
      <c r="R708" s="1"/>
      <c r="S708" s="1"/>
      <c r="T708" s="1"/>
    </row>
    <row r="709" spans="1:20" ht="13.5">
      <c r="A709" s="1"/>
      <c r="B709" s="1"/>
      <c r="C709" s="1"/>
      <c r="D709" s="1"/>
      <c r="E709" s="1"/>
      <c r="F709" s="1"/>
      <c r="G709" s="1"/>
      <c r="H709" s="1"/>
      <c r="I709" s="1"/>
      <c r="J709" s="1"/>
      <c r="K709" s="1"/>
      <c r="L709" s="1"/>
      <c r="M709" s="1"/>
      <c r="N709" s="1"/>
      <c r="O709" s="1"/>
      <c r="P709" s="1"/>
      <c r="Q709" s="1"/>
      <c r="R709" s="1"/>
      <c r="S709" s="1"/>
      <c r="T709" s="1"/>
    </row>
    <row r="710" spans="1:20" ht="13.5">
      <c r="A710" s="1"/>
      <c r="B710" s="1"/>
      <c r="C710" s="1"/>
      <c r="D710" s="1"/>
      <c r="E710" s="1"/>
      <c r="F710" s="1"/>
      <c r="G710" s="1"/>
      <c r="H710" s="1"/>
      <c r="I710" s="1"/>
      <c r="J710" s="1"/>
      <c r="K710" s="1"/>
      <c r="L710" s="1"/>
      <c r="M710" s="1"/>
      <c r="N710" s="1"/>
      <c r="O710" s="1"/>
      <c r="P710" s="1"/>
      <c r="Q710" s="1"/>
      <c r="R710" s="1"/>
      <c r="S710" s="1"/>
      <c r="T710" s="1"/>
    </row>
    <row r="711" spans="1:20" ht="13.5">
      <c r="A711" s="1"/>
      <c r="B711" s="1"/>
      <c r="C711" s="1"/>
      <c r="D711" s="1"/>
      <c r="E711" s="1"/>
      <c r="F711" s="1"/>
      <c r="G711" s="1"/>
      <c r="H711" s="1"/>
      <c r="I711" s="1"/>
      <c r="J711" s="1"/>
      <c r="K711" s="1"/>
      <c r="L711" s="1"/>
      <c r="M711" s="1"/>
      <c r="N711" s="1"/>
      <c r="O711" s="1"/>
      <c r="P711" s="1"/>
      <c r="Q711" s="1"/>
      <c r="R711" s="1"/>
      <c r="S711" s="1"/>
      <c r="T711" s="1"/>
    </row>
    <row r="712" spans="1:20" ht="13.5">
      <c r="A712" s="1"/>
      <c r="B712" s="1"/>
      <c r="C712" s="1"/>
      <c r="D712" s="1"/>
      <c r="E712" s="1"/>
      <c r="F712" s="1"/>
      <c r="G712" s="1"/>
      <c r="H712" s="1"/>
      <c r="I712" s="1"/>
      <c r="J712" s="1"/>
      <c r="K712" s="1"/>
      <c r="L712" s="1"/>
      <c r="M712" s="1"/>
      <c r="N712" s="1"/>
      <c r="O712" s="1"/>
      <c r="P712" s="1"/>
      <c r="Q712" s="1"/>
      <c r="R712" s="1"/>
      <c r="S712" s="1"/>
      <c r="T712" s="1"/>
    </row>
    <row r="713" spans="1:20" ht="13.5">
      <c r="A713" s="1"/>
      <c r="B713" s="1"/>
      <c r="C713" s="1"/>
      <c r="D713" s="1"/>
      <c r="E713" s="1"/>
      <c r="F713" s="1"/>
      <c r="G713" s="1"/>
      <c r="H713" s="1"/>
      <c r="I713" s="1"/>
      <c r="J713" s="1"/>
      <c r="K713" s="1"/>
      <c r="L713" s="1"/>
      <c r="M713" s="1"/>
      <c r="N713" s="1"/>
      <c r="O713" s="1"/>
      <c r="P713" s="1"/>
      <c r="Q713" s="1"/>
      <c r="R713" s="1"/>
      <c r="S713" s="1"/>
      <c r="T713" s="1"/>
    </row>
    <row r="714" spans="1:20" ht="13.5">
      <c r="A714" s="1"/>
      <c r="B714" s="1"/>
      <c r="C714" s="1"/>
      <c r="D714" s="1"/>
      <c r="E714" s="1"/>
      <c r="F714" s="1"/>
      <c r="G714" s="1"/>
      <c r="H714" s="1"/>
      <c r="I714" s="1"/>
      <c r="J714" s="1"/>
      <c r="K714" s="1"/>
      <c r="L714" s="1"/>
      <c r="M714" s="1"/>
      <c r="N714" s="1"/>
      <c r="O714" s="1"/>
      <c r="P714" s="1"/>
      <c r="Q714" s="1"/>
      <c r="R714" s="1"/>
      <c r="S714" s="1"/>
      <c r="T714" s="1"/>
    </row>
    <row r="715" spans="1:20" ht="13.5">
      <c r="A715" s="1"/>
      <c r="B715" s="1"/>
      <c r="C715" s="1"/>
      <c r="D715" s="1"/>
      <c r="E715" s="1"/>
      <c r="F715" s="1"/>
      <c r="G715" s="1"/>
      <c r="H715" s="1"/>
      <c r="I715" s="1"/>
      <c r="J715" s="1"/>
      <c r="K715" s="1"/>
      <c r="L715" s="1"/>
      <c r="M715" s="1"/>
      <c r="N715" s="1"/>
      <c r="O715" s="1"/>
      <c r="P715" s="1"/>
      <c r="Q715" s="1"/>
      <c r="R715" s="1"/>
      <c r="S715" s="1"/>
      <c r="T715" s="1"/>
    </row>
    <row r="716" spans="1:20" ht="13.5">
      <c r="A716" s="1"/>
      <c r="B716" s="1"/>
      <c r="C716" s="1"/>
      <c r="D716" s="1"/>
      <c r="E716" s="1"/>
      <c r="F716" s="1"/>
      <c r="G716" s="1"/>
      <c r="H716" s="1"/>
      <c r="I716" s="1"/>
      <c r="J716" s="1"/>
      <c r="K716" s="1"/>
      <c r="L716" s="1"/>
      <c r="M716" s="1"/>
      <c r="N716" s="1"/>
      <c r="O716" s="1"/>
      <c r="P716" s="1"/>
      <c r="Q716" s="1"/>
      <c r="R716" s="1"/>
      <c r="S716" s="1"/>
      <c r="T716" s="1"/>
    </row>
    <row r="717" spans="1:20" ht="13.5">
      <c r="A717" s="1"/>
      <c r="B717" s="1"/>
      <c r="C717" s="1"/>
      <c r="D717" s="1"/>
      <c r="E717" s="1"/>
      <c r="F717" s="1"/>
      <c r="G717" s="1"/>
      <c r="H717" s="1"/>
      <c r="I717" s="1"/>
      <c r="J717" s="1"/>
      <c r="K717" s="1"/>
      <c r="L717" s="1"/>
      <c r="M717" s="1"/>
      <c r="N717" s="1"/>
      <c r="O717" s="1"/>
      <c r="P717" s="1"/>
      <c r="Q717" s="1"/>
      <c r="R717" s="1"/>
      <c r="S717" s="1"/>
      <c r="T717" s="1"/>
    </row>
    <row r="718" spans="1:20" ht="13.5">
      <c r="A718" s="1"/>
      <c r="B718" s="1"/>
      <c r="C718" s="1"/>
      <c r="D718" s="1"/>
      <c r="E718" s="1"/>
      <c r="F718" s="1"/>
      <c r="G718" s="1"/>
      <c r="H718" s="1"/>
      <c r="I718" s="1"/>
      <c r="J718" s="1"/>
      <c r="K718" s="1"/>
      <c r="L718" s="1"/>
      <c r="M718" s="1"/>
      <c r="N718" s="1"/>
      <c r="O718" s="1"/>
      <c r="P718" s="1"/>
      <c r="Q718" s="1"/>
      <c r="R718" s="1"/>
      <c r="S718" s="1"/>
      <c r="T718" s="1"/>
    </row>
    <row r="719" spans="1:20" ht="13.5">
      <c r="A719" s="1"/>
      <c r="B719" s="1"/>
      <c r="C719" s="1"/>
      <c r="D719" s="1"/>
      <c r="E719" s="1"/>
      <c r="F719" s="1"/>
      <c r="G719" s="1"/>
      <c r="H719" s="1"/>
      <c r="I719" s="1"/>
      <c r="J719" s="1"/>
      <c r="K719" s="1"/>
      <c r="L719" s="1"/>
      <c r="M719" s="1"/>
      <c r="N719" s="1"/>
      <c r="O719" s="1"/>
      <c r="P719" s="1"/>
      <c r="Q719" s="1"/>
      <c r="R719" s="1"/>
      <c r="S719" s="1"/>
      <c r="T719" s="1"/>
    </row>
    <row r="720" spans="1:20" ht="13.5">
      <c r="A720" s="1"/>
      <c r="B720" s="1"/>
      <c r="C720" s="1"/>
      <c r="D720" s="1"/>
      <c r="E720" s="1"/>
      <c r="F720" s="1"/>
      <c r="G720" s="1"/>
      <c r="H720" s="1"/>
      <c r="I720" s="1"/>
      <c r="J720" s="1"/>
      <c r="K720" s="1"/>
      <c r="L720" s="1"/>
      <c r="M720" s="1"/>
      <c r="N720" s="1"/>
      <c r="O720" s="1"/>
      <c r="P720" s="1"/>
      <c r="Q720" s="1"/>
      <c r="R720" s="1"/>
      <c r="S720" s="1"/>
      <c r="T720" s="1"/>
    </row>
    <row r="721" spans="1:20" ht="13.5">
      <c r="A721" s="1"/>
      <c r="B721" s="1"/>
      <c r="C721" s="1"/>
      <c r="D721" s="1"/>
      <c r="E721" s="1"/>
      <c r="F721" s="1"/>
      <c r="G721" s="1"/>
      <c r="H721" s="1"/>
      <c r="I721" s="1"/>
      <c r="J721" s="1"/>
      <c r="K721" s="1"/>
      <c r="L721" s="1"/>
      <c r="M721" s="1"/>
      <c r="N721" s="1"/>
      <c r="O721" s="1"/>
      <c r="P721" s="1"/>
      <c r="Q721" s="1"/>
      <c r="R721" s="1"/>
      <c r="S721" s="1"/>
      <c r="T721" s="1"/>
    </row>
    <row r="722" spans="1:20" ht="13.5">
      <c r="A722" s="1"/>
      <c r="B722" s="1"/>
      <c r="C722" s="1"/>
      <c r="D722" s="1"/>
      <c r="E722" s="1"/>
      <c r="F722" s="1"/>
      <c r="G722" s="1"/>
      <c r="H722" s="1"/>
      <c r="I722" s="1"/>
      <c r="J722" s="1"/>
      <c r="K722" s="1"/>
      <c r="L722" s="1"/>
      <c r="M722" s="1"/>
      <c r="N722" s="1"/>
      <c r="O722" s="1"/>
      <c r="P722" s="1"/>
      <c r="Q722" s="1"/>
      <c r="R722" s="1"/>
      <c r="S722" s="1"/>
      <c r="T722" s="1"/>
    </row>
    <row r="723" spans="1:20" ht="13.5">
      <c r="A723" s="1"/>
      <c r="B723" s="1"/>
      <c r="C723" s="1"/>
      <c r="D723" s="1"/>
      <c r="E723" s="1"/>
      <c r="F723" s="1"/>
      <c r="G723" s="1"/>
      <c r="H723" s="1"/>
      <c r="I723" s="1"/>
      <c r="J723" s="1"/>
      <c r="K723" s="1"/>
      <c r="L723" s="1"/>
      <c r="M723" s="1"/>
      <c r="N723" s="1"/>
      <c r="O723" s="1"/>
      <c r="P723" s="1"/>
      <c r="Q723" s="1"/>
      <c r="R723" s="1"/>
      <c r="S723" s="1"/>
      <c r="T723" s="1"/>
    </row>
    <row r="724" spans="1:20" ht="13.5">
      <c r="A724" s="1"/>
      <c r="B724" s="1"/>
      <c r="C724" s="1"/>
      <c r="D724" s="1"/>
      <c r="E724" s="1"/>
      <c r="F724" s="1"/>
      <c r="G724" s="1"/>
      <c r="H724" s="1"/>
      <c r="I724" s="1"/>
      <c r="J724" s="1"/>
      <c r="K724" s="1"/>
      <c r="L724" s="1"/>
      <c r="M724" s="1"/>
      <c r="N724" s="1"/>
      <c r="O724" s="1"/>
      <c r="P724" s="1"/>
      <c r="Q724" s="1"/>
      <c r="R724" s="1"/>
      <c r="S724" s="1"/>
      <c r="T724" s="1"/>
    </row>
    <row r="725" spans="1:20" ht="13.5">
      <c r="A725" s="1"/>
      <c r="B725" s="1"/>
      <c r="C725" s="1"/>
      <c r="D725" s="1"/>
      <c r="E725" s="1"/>
      <c r="F725" s="1"/>
      <c r="G725" s="1"/>
      <c r="H725" s="1"/>
      <c r="I725" s="1"/>
      <c r="J725" s="1"/>
      <c r="K725" s="1"/>
      <c r="L725" s="1"/>
      <c r="M725" s="1"/>
      <c r="N725" s="1"/>
      <c r="O725" s="1"/>
      <c r="P725" s="1"/>
      <c r="Q725" s="1"/>
      <c r="R725" s="1"/>
      <c r="S725" s="1"/>
      <c r="T725" s="1"/>
    </row>
    <row r="726" spans="1:20" ht="13.5">
      <c r="A726" s="1"/>
      <c r="B726" s="1"/>
      <c r="C726" s="1"/>
      <c r="D726" s="1"/>
      <c r="E726" s="1"/>
      <c r="F726" s="1"/>
      <c r="G726" s="1"/>
      <c r="H726" s="1"/>
      <c r="I726" s="1"/>
      <c r="J726" s="1"/>
      <c r="K726" s="1"/>
      <c r="L726" s="1"/>
      <c r="M726" s="1"/>
      <c r="N726" s="1"/>
      <c r="O726" s="1"/>
      <c r="P726" s="1"/>
      <c r="Q726" s="1"/>
      <c r="R726" s="1"/>
      <c r="S726" s="1"/>
      <c r="T726" s="1"/>
    </row>
    <row r="727" spans="1:20" ht="13.5">
      <c r="A727" s="1"/>
      <c r="B727" s="1"/>
      <c r="C727" s="1"/>
      <c r="D727" s="1"/>
      <c r="E727" s="1"/>
      <c r="F727" s="1"/>
      <c r="G727" s="1"/>
      <c r="H727" s="1"/>
      <c r="I727" s="1"/>
      <c r="J727" s="1"/>
      <c r="K727" s="1"/>
      <c r="L727" s="1"/>
      <c r="M727" s="1"/>
      <c r="N727" s="1"/>
      <c r="O727" s="1"/>
      <c r="P727" s="1"/>
      <c r="Q727" s="1"/>
      <c r="R727" s="1"/>
      <c r="S727" s="1"/>
      <c r="T727" s="1"/>
    </row>
    <row r="728" spans="1:20" ht="13.5">
      <c r="A728" s="1"/>
      <c r="B728" s="1"/>
      <c r="C728" s="1"/>
      <c r="D728" s="1"/>
      <c r="E728" s="1"/>
      <c r="F728" s="1"/>
      <c r="G728" s="1"/>
      <c r="H728" s="1"/>
      <c r="I728" s="1"/>
      <c r="J728" s="1"/>
      <c r="K728" s="1"/>
      <c r="L728" s="1"/>
      <c r="M728" s="1"/>
      <c r="N728" s="1"/>
      <c r="O728" s="1"/>
      <c r="P728" s="1"/>
      <c r="Q728" s="1"/>
      <c r="R728" s="1"/>
      <c r="S728" s="1"/>
      <c r="T728" s="1"/>
    </row>
    <row r="729" spans="1:20" ht="13.5">
      <c r="A729" s="1"/>
      <c r="B729" s="1"/>
      <c r="C729" s="1"/>
      <c r="D729" s="1"/>
      <c r="E729" s="1"/>
      <c r="F729" s="1"/>
      <c r="G729" s="1"/>
      <c r="H729" s="1"/>
      <c r="I729" s="1"/>
      <c r="J729" s="1"/>
      <c r="K729" s="1"/>
      <c r="L729" s="1"/>
      <c r="M729" s="1"/>
      <c r="N729" s="1"/>
      <c r="O729" s="1"/>
      <c r="P729" s="1"/>
      <c r="Q729" s="1"/>
      <c r="R729" s="1"/>
      <c r="S729" s="1"/>
      <c r="T729" s="1"/>
    </row>
    <row r="730" spans="1:20" ht="13.5">
      <c r="A730" s="1"/>
      <c r="B730" s="1"/>
      <c r="C730" s="1"/>
      <c r="D730" s="1"/>
      <c r="E730" s="1"/>
      <c r="F730" s="1"/>
      <c r="G730" s="1"/>
      <c r="H730" s="1"/>
      <c r="I730" s="1"/>
      <c r="J730" s="1"/>
      <c r="K730" s="1"/>
      <c r="L730" s="1"/>
      <c r="M730" s="1"/>
      <c r="N730" s="1"/>
      <c r="O730" s="1"/>
      <c r="P730" s="1"/>
      <c r="Q730" s="1"/>
      <c r="R730" s="1"/>
      <c r="S730" s="1"/>
      <c r="T730" s="1"/>
    </row>
    <row r="731" spans="1:20" ht="13.5">
      <c r="A731" s="1"/>
      <c r="B731" s="1"/>
      <c r="C731" s="1"/>
      <c r="D731" s="1"/>
      <c r="E731" s="1"/>
      <c r="F731" s="1"/>
      <c r="G731" s="1"/>
      <c r="H731" s="1"/>
      <c r="I731" s="1"/>
      <c r="J731" s="1"/>
      <c r="K731" s="1"/>
      <c r="L731" s="1"/>
      <c r="M731" s="1"/>
      <c r="N731" s="1"/>
      <c r="O731" s="1"/>
      <c r="P731" s="1"/>
      <c r="Q731" s="1"/>
      <c r="R731" s="1"/>
      <c r="S731" s="1"/>
      <c r="T731" s="1"/>
    </row>
    <row r="732" spans="1:20" ht="13.5">
      <c r="A732" s="1"/>
      <c r="B732" s="1"/>
      <c r="C732" s="1"/>
      <c r="D732" s="1"/>
      <c r="E732" s="1"/>
      <c r="F732" s="1"/>
      <c r="G732" s="1"/>
      <c r="H732" s="1"/>
      <c r="I732" s="1"/>
      <c r="J732" s="1"/>
      <c r="K732" s="1"/>
      <c r="L732" s="1"/>
      <c r="M732" s="1"/>
      <c r="N732" s="1"/>
      <c r="O732" s="1"/>
      <c r="P732" s="1"/>
      <c r="Q732" s="1"/>
      <c r="R732" s="1"/>
      <c r="S732" s="1"/>
      <c r="T732" s="1"/>
    </row>
    <row r="733" spans="1:20" ht="13.5">
      <c r="A733" s="1"/>
      <c r="B733" s="1"/>
      <c r="C733" s="1"/>
      <c r="D733" s="1"/>
      <c r="E733" s="1"/>
      <c r="F733" s="1"/>
      <c r="G733" s="1"/>
      <c r="H733" s="1"/>
      <c r="I733" s="1"/>
      <c r="J733" s="1"/>
      <c r="K733" s="1"/>
      <c r="L733" s="1"/>
      <c r="M733" s="1"/>
      <c r="N733" s="1"/>
      <c r="O733" s="1"/>
      <c r="P733" s="1"/>
      <c r="Q733" s="1"/>
      <c r="R733" s="1"/>
      <c r="S733" s="1"/>
      <c r="T733" s="1"/>
    </row>
    <row r="734" spans="1:20" ht="13.5">
      <c r="A734" s="1"/>
      <c r="B734" s="1"/>
      <c r="C734" s="1"/>
      <c r="D734" s="1"/>
      <c r="E734" s="1"/>
      <c r="F734" s="1"/>
      <c r="G734" s="1"/>
      <c r="H734" s="1"/>
      <c r="I734" s="1"/>
      <c r="J734" s="1"/>
      <c r="K734" s="1"/>
      <c r="L734" s="1"/>
      <c r="M734" s="1"/>
      <c r="N734" s="1"/>
      <c r="O734" s="1"/>
      <c r="P734" s="1"/>
      <c r="Q734" s="1"/>
      <c r="R734" s="1"/>
      <c r="S734" s="1"/>
      <c r="T734" s="1"/>
    </row>
    <row r="735" spans="1:20" ht="13.5">
      <c r="A735" s="1"/>
      <c r="B735" s="1"/>
      <c r="C735" s="1"/>
      <c r="D735" s="1"/>
      <c r="E735" s="1"/>
      <c r="F735" s="1"/>
      <c r="G735" s="1"/>
      <c r="H735" s="1"/>
      <c r="I735" s="1"/>
      <c r="J735" s="1"/>
      <c r="K735" s="1"/>
      <c r="L735" s="1"/>
      <c r="M735" s="1"/>
      <c r="N735" s="1"/>
      <c r="O735" s="1"/>
      <c r="P735" s="1"/>
      <c r="Q735" s="1"/>
      <c r="R735" s="1"/>
      <c r="S735" s="1"/>
      <c r="T735" s="1"/>
    </row>
    <row r="736" spans="1:20" ht="13.5">
      <c r="A736" s="1"/>
      <c r="B736" s="1"/>
      <c r="C736" s="1"/>
      <c r="D736" s="1"/>
      <c r="E736" s="1"/>
      <c r="F736" s="1"/>
      <c r="G736" s="1"/>
      <c r="H736" s="1"/>
      <c r="I736" s="1"/>
      <c r="J736" s="1"/>
      <c r="K736" s="1"/>
      <c r="L736" s="1"/>
      <c r="M736" s="1"/>
      <c r="N736" s="1"/>
      <c r="O736" s="1"/>
      <c r="P736" s="1"/>
      <c r="Q736" s="1"/>
      <c r="R736" s="1"/>
      <c r="S736" s="1"/>
      <c r="T736" s="1"/>
    </row>
    <row r="737" spans="1:20" ht="13.5">
      <c r="A737" s="1"/>
      <c r="B737" s="1"/>
      <c r="C737" s="1"/>
      <c r="D737" s="1"/>
      <c r="E737" s="1"/>
      <c r="F737" s="1"/>
      <c r="G737" s="1"/>
      <c r="H737" s="1"/>
      <c r="I737" s="1"/>
      <c r="J737" s="1"/>
      <c r="K737" s="1"/>
      <c r="L737" s="1"/>
      <c r="M737" s="1"/>
      <c r="N737" s="1"/>
      <c r="O737" s="1"/>
      <c r="P737" s="1"/>
      <c r="Q737" s="1"/>
      <c r="R737" s="1"/>
      <c r="S737" s="1"/>
      <c r="T737" s="1"/>
    </row>
    <row r="738" spans="1:20" ht="13.5">
      <c r="A738" s="1"/>
      <c r="B738" s="1"/>
      <c r="C738" s="1"/>
      <c r="D738" s="1"/>
      <c r="E738" s="1"/>
      <c r="F738" s="1"/>
      <c r="G738" s="1"/>
      <c r="H738" s="1"/>
      <c r="I738" s="1"/>
      <c r="J738" s="1"/>
      <c r="K738" s="1"/>
      <c r="L738" s="1"/>
      <c r="M738" s="1"/>
      <c r="N738" s="1"/>
      <c r="O738" s="1"/>
      <c r="P738" s="1"/>
      <c r="Q738" s="1"/>
      <c r="R738" s="1"/>
      <c r="S738" s="1"/>
      <c r="T738" s="1"/>
    </row>
    <row r="739" spans="1:20" ht="13.5">
      <c r="A739" s="1"/>
      <c r="B739" s="1"/>
      <c r="C739" s="1"/>
      <c r="D739" s="1"/>
      <c r="E739" s="1"/>
      <c r="F739" s="1"/>
      <c r="G739" s="1"/>
      <c r="H739" s="1"/>
      <c r="I739" s="1"/>
      <c r="J739" s="1"/>
      <c r="K739" s="1"/>
      <c r="L739" s="1"/>
      <c r="M739" s="1"/>
      <c r="N739" s="1"/>
      <c r="O739" s="1"/>
      <c r="P739" s="1"/>
      <c r="Q739" s="1"/>
      <c r="R739" s="1"/>
      <c r="S739" s="1"/>
      <c r="T739" s="1"/>
    </row>
    <row r="740" spans="1:20" ht="13.5">
      <c r="A740" s="1"/>
      <c r="B740" s="1"/>
      <c r="C740" s="1"/>
      <c r="D740" s="1"/>
      <c r="E740" s="1"/>
      <c r="F740" s="1"/>
      <c r="G740" s="1"/>
      <c r="H740" s="1"/>
      <c r="I740" s="1"/>
      <c r="J740" s="1"/>
      <c r="K740" s="1"/>
      <c r="L740" s="1"/>
      <c r="M740" s="1"/>
      <c r="N740" s="1"/>
      <c r="O740" s="1"/>
      <c r="P740" s="1"/>
      <c r="Q740" s="1"/>
      <c r="R740" s="1"/>
      <c r="S740" s="1"/>
      <c r="T740" s="1"/>
    </row>
    <row r="741" spans="1:20" ht="13.5">
      <c r="A741" s="1"/>
      <c r="B741" s="1"/>
      <c r="C741" s="1"/>
      <c r="D741" s="1"/>
      <c r="E741" s="1"/>
      <c r="F741" s="1"/>
      <c r="G741" s="1"/>
      <c r="H741" s="1"/>
      <c r="I741" s="1"/>
      <c r="J741" s="1"/>
      <c r="K741" s="1"/>
      <c r="L741" s="1"/>
      <c r="M741" s="1"/>
      <c r="N741" s="1"/>
      <c r="O741" s="1"/>
      <c r="P741" s="1"/>
      <c r="Q741" s="1"/>
      <c r="R741" s="1"/>
      <c r="S741" s="1"/>
      <c r="T741" s="1"/>
    </row>
    <row r="742" spans="1:20" ht="13.5">
      <c r="A742" s="1"/>
      <c r="B742" s="1"/>
      <c r="C742" s="1"/>
      <c r="D742" s="1"/>
      <c r="E742" s="1"/>
      <c r="F742" s="1"/>
      <c r="G742" s="1"/>
      <c r="H742" s="1"/>
      <c r="I742" s="1"/>
      <c r="J742" s="1"/>
      <c r="K742" s="1"/>
      <c r="L742" s="1"/>
      <c r="M742" s="1"/>
      <c r="N742" s="1"/>
      <c r="O742" s="1"/>
      <c r="P742" s="1"/>
      <c r="Q742" s="1"/>
      <c r="R742" s="1"/>
      <c r="S742" s="1"/>
      <c r="T742" s="1"/>
    </row>
    <row r="743" spans="1:20" ht="13.5">
      <c r="A743" s="1"/>
      <c r="B743" s="1"/>
      <c r="C743" s="1"/>
      <c r="D743" s="1"/>
      <c r="E743" s="1"/>
      <c r="F743" s="1"/>
      <c r="G743" s="1"/>
      <c r="H743" s="1"/>
      <c r="I743" s="1"/>
      <c r="J743" s="1"/>
      <c r="K743" s="1"/>
      <c r="L743" s="1"/>
      <c r="M743" s="1"/>
      <c r="N743" s="1"/>
      <c r="O743" s="1"/>
      <c r="P743" s="1"/>
      <c r="Q743" s="1"/>
      <c r="R743" s="1"/>
      <c r="S743" s="1"/>
      <c r="T743" s="1"/>
    </row>
    <row r="744" spans="1:20" ht="13.5">
      <c r="A744" s="1"/>
      <c r="B744" s="1"/>
      <c r="C744" s="1"/>
      <c r="D744" s="1"/>
      <c r="E744" s="1"/>
      <c r="F744" s="1"/>
      <c r="G744" s="1"/>
      <c r="H744" s="1"/>
      <c r="I744" s="1"/>
      <c r="J744" s="1"/>
      <c r="K744" s="1"/>
      <c r="L744" s="1"/>
      <c r="M744" s="1"/>
      <c r="N744" s="1"/>
      <c r="O744" s="1"/>
      <c r="P744" s="1"/>
      <c r="Q744" s="1"/>
      <c r="R744" s="1"/>
      <c r="S744" s="1"/>
      <c r="T744" s="1"/>
    </row>
    <row r="745" spans="1:20" ht="13.5">
      <c r="A745" s="1"/>
      <c r="B745" s="1"/>
      <c r="C745" s="1"/>
      <c r="D745" s="1"/>
      <c r="E745" s="1"/>
      <c r="F745" s="1"/>
      <c r="G745" s="1"/>
      <c r="H745" s="1"/>
      <c r="I745" s="1"/>
      <c r="J745" s="1"/>
      <c r="K745" s="1"/>
      <c r="L745" s="1"/>
      <c r="M745" s="1"/>
      <c r="N745" s="1"/>
      <c r="O745" s="1"/>
      <c r="P745" s="1"/>
      <c r="Q745" s="1"/>
      <c r="R745" s="1"/>
      <c r="S745" s="1"/>
      <c r="T745" s="1"/>
    </row>
    <row r="746" spans="1:20" ht="13.5">
      <c r="A746" s="1"/>
      <c r="B746" s="1"/>
      <c r="C746" s="1"/>
      <c r="D746" s="1"/>
      <c r="E746" s="1"/>
      <c r="F746" s="1"/>
      <c r="G746" s="1"/>
      <c r="H746" s="1"/>
      <c r="I746" s="1"/>
      <c r="J746" s="1"/>
      <c r="K746" s="1"/>
      <c r="L746" s="1"/>
      <c r="M746" s="1"/>
      <c r="N746" s="1"/>
      <c r="O746" s="1"/>
      <c r="P746" s="1"/>
      <c r="Q746" s="1"/>
      <c r="R746" s="1"/>
      <c r="S746" s="1"/>
      <c r="T746" s="1"/>
    </row>
    <row r="747" spans="1:20" ht="13.5">
      <c r="A747" s="1"/>
      <c r="B747" s="1"/>
      <c r="C747" s="1"/>
      <c r="D747" s="1"/>
      <c r="E747" s="1"/>
      <c r="F747" s="1"/>
      <c r="G747" s="1"/>
      <c r="H747" s="1"/>
      <c r="I747" s="1"/>
      <c r="J747" s="1"/>
      <c r="K747" s="1"/>
      <c r="L747" s="1"/>
      <c r="M747" s="1"/>
      <c r="N747" s="1"/>
      <c r="O747" s="1"/>
      <c r="P747" s="1"/>
      <c r="Q747" s="1"/>
      <c r="R747" s="1"/>
      <c r="S747" s="1"/>
      <c r="T747" s="1"/>
    </row>
    <row r="748" spans="1:20" ht="13.5">
      <c r="A748" s="1"/>
      <c r="B748" s="1"/>
      <c r="C748" s="1"/>
      <c r="D748" s="1"/>
      <c r="E748" s="1"/>
      <c r="F748" s="1"/>
      <c r="G748" s="1"/>
      <c r="H748" s="1"/>
      <c r="I748" s="1"/>
      <c r="J748" s="1"/>
      <c r="K748" s="1"/>
      <c r="L748" s="1"/>
      <c r="M748" s="1"/>
      <c r="N748" s="1"/>
      <c r="O748" s="1"/>
      <c r="P748" s="1"/>
      <c r="Q748" s="1"/>
      <c r="R748" s="1"/>
      <c r="S748" s="1"/>
      <c r="T748" s="1"/>
    </row>
    <row r="749" spans="1:20" ht="13.5">
      <c r="A749" s="1"/>
      <c r="B749" s="1"/>
      <c r="C749" s="1"/>
      <c r="D749" s="1"/>
      <c r="E749" s="1"/>
      <c r="F749" s="1"/>
      <c r="G749" s="1"/>
      <c r="H749" s="1"/>
      <c r="I749" s="1"/>
      <c r="J749" s="1"/>
      <c r="K749" s="1"/>
      <c r="L749" s="1"/>
      <c r="M749" s="1"/>
      <c r="N749" s="1"/>
      <c r="O749" s="1"/>
      <c r="P749" s="1"/>
      <c r="Q749" s="1"/>
      <c r="R749" s="1"/>
      <c r="S749" s="1"/>
      <c r="T749" s="1"/>
    </row>
    <row r="750" spans="1:20" ht="13.5">
      <c r="A750" s="1"/>
      <c r="B750" s="1"/>
      <c r="C750" s="1"/>
      <c r="D750" s="1"/>
      <c r="E750" s="1"/>
      <c r="F750" s="1"/>
      <c r="G750" s="1"/>
      <c r="H750" s="1"/>
      <c r="I750" s="1"/>
      <c r="J750" s="1"/>
      <c r="K750" s="1"/>
      <c r="L750" s="1"/>
      <c r="M750" s="1"/>
      <c r="N750" s="1"/>
      <c r="O750" s="1"/>
      <c r="P750" s="1"/>
      <c r="Q750" s="1"/>
      <c r="R750" s="1"/>
      <c r="S750" s="1"/>
      <c r="T750" s="1"/>
    </row>
    <row r="751" spans="1:20" ht="13.5">
      <c r="A751" s="1"/>
      <c r="B751" s="1"/>
      <c r="C751" s="1"/>
      <c r="D751" s="1"/>
      <c r="E751" s="1"/>
      <c r="F751" s="1"/>
      <c r="G751" s="1"/>
      <c r="H751" s="1"/>
      <c r="I751" s="1"/>
      <c r="J751" s="1"/>
      <c r="K751" s="1"/>
      <c r="L751" s="1"/>
      <c r="M751" s="1"/>
      <c r="N751" s="1"/>
      <c r="O751" s="1"/>
      <c r="P751" s="1"/>
      <c r="Q751" s="1"/>
      <c r="R751" s="1"/>
      <c r="S751" s="1"/>
      <c r="T751" s="1"/>
    </row>
    <row r="752" spans="1:20" ht="13.5">
      <c r="A752" s="1"/>
      <c r="B752" s="1"/>
      <c r="C752" s="1"/>
      <c r="D752" s="1"/>
      <c r="E752" s="1"/>
      <c r="F752" s="1"/>
      <c r="G752" s="1"/>
      <c r="H752" s="1"/>
      <c r="I752" s="1"/>
      <c r="J752" s="1"/>
      <c r="K752" s="1"/>
      <c r="L752" s="1"/>
      <c r="M752" s="1"/>
      <c r="N752" s="1"/>
      <c r="O752" s="1"/>
      <c r="P752" s="1"/>
      <c r="Q752" s="1"/>
      <c r="R752" s="1"/>
      <c r="S752" s="1"/>
      <c r="T752" s="1"/>
    </row>
    <row r="753" spans="1:20" ht="13.5">
      <c r="A753" s="1"/>
      <c r="B753" s="1"/>
      <c r="C753" s="1"/>
      <c r="D753" s="1"/>
      <c r="E753" s="1"/>
      <c r="F753" s="1"/>
      <c r="G753" s="1"/>
      <c r="H753" s="1"/>
      <c r="I753" s="1"/>
      <c r="J753" s="1"/>
      <c r="K753" s="1"/>
      <c r="L753" s="1"/>
      <c r="M753" s="1"/>
      <c r="N753" s="1"/>
      <c r="O753" s="1"/>
      <c r="P753" s="1"/>
      <c r="Q753" s="1"/>
      <c r="R753" s="1"/>
      <c r="S753" s="1"/>
      <c r="T753" s="1"/>
    </row>
    <row r="754" spans="1:20" ht="13.5">
      <c r="A754" s="1"/>
      <c r="B754" s="1"/>
      <c r="C754" s="1"/>
      <c r="D754" s="1"/>
      <c r="E754" s="1"/>
      <c r="F754" s="1"/>
      <c r="G754" s="1"/>
      <c r="H754" s="1"/>
      <c r="I754" s="1"/>
      <c r="J754" s="1"/>
      <c r="K754" s="1"/>
      <c r="L754" s="1"/>
      <c r="M754" s="1"/>
      <c r="N754" s="1"/>
      <c r="O754" s="1"/>
      <c r="P754" s="1"/>
      <c r="Q754" s="1"/>
      <c r="R754" s="1"/>
      <c r="S754" s="1"/>
      <c r="T754" s="1"/>
    </row>
    <row r="755" spans="1:20" ht="13.5">
      <c r="A755" s="1"/>
      <c r="B755" s="1"/>
      <c r="C755" s="1"/>
      <c r="D755" s="1"/>
      <c r="E755" s="1"/>
      <c r="F755" s="1"/>
      <c r="G755" s="1"/>
      <c r="H755" s="1"/>
      <c r="I755" s="1"/>
      <c r="J755" s="1"/>
      <c r="K755" s="1"/>
      <c r="L755" s="1"/>
      <c r="M755" s="1"/>
      <c r="N755" s="1"/>
      <c r="O755" s="1"/>
      <c r="P755" s="1"/>
      <c r="Q755" s="1"/>
      <c r="R755" s="1"/>
      <c r="S755" s="1"/>
      <c r="T755" s="1"/>
    </row>
    <row r="756" spans="1:20" ht="13.5">
      <c r="A756" s="1"/>
      <c r="B756" s="1"/>
      <c r="C756" s="1"/>
      <c r="D756" s="1"/>
      <c r="E756" s="1"/>
      <c r="F756" s="1"/>
      <c r="G756" s="1"/>
      <c r="H756" s="1"/>
      <c r="I756" s="1"/>
      <c r="J756" s="1"/>
      <c r="K756" s="1"/>
      <c r="L756" s="1"/>
      <c r="M756" s="1"/>
      <c r="N756" s="1"/>
      <c r="O756" s="1"/>
      <c r="P756" s="1"/>
      <c r="Q756" s="1"/>
      <c r="R756" s="1"/>
      <c r="S756" s="1"/>
      <c r="T756" s="1"/>
    </row>
    <row r="757" spans="1:20" ht="13.5">
      <c r="A757" s="1"/>
      <c r="B757" s="1"/>
      <c r="C757" s="1"/>
      <c r="D757" s="1"/>
      <c r="E757" s="1"/>
      <c r="F757" s="1"/>
      <c r="G757" s="1"/>
      <c r="H757" s="1"/>
      <c r="I757" s="1"/>
      <c r="J757" s="1"/>
      <c r="K757" s="1"/>
      <c r="L757" s="1"/>
      <c r="M757" s="1"/>
      <c r="N757" s="1"/>
      <c r="O757" s="1"/>
      <c r="P757" s="1"/>
      <c r="Q757" s="1"/>
      <c r="R757" s="1"/>
      <c r="S757" s="1"/>
      <c r="T757" s="1"/>
    </row>
    <row r="758" spans="1:20" ht="13.5">
      <c r="A758" s="1"/>
      <c r="B758" s="1"/>
      <c r="C758" s="1"/>
      <c r="D758" s="1"/>
      <c r="E758" s="1"/>
      <c r="F758" s="1"/>
      <c r="G758" s="1"/>
      <c r="H758" s="1"/>
      <c r="I758" s="1"/>
      <c r="J758" s="1"/>
      <c r="K758" s="1"/>
      <c r="L758" s="1"/>
      <c r="M758" s="1"/>
      <c r="N758" s="1"/>
      <c r="O758" s="1"/>
      <c r="P758" s="1"/>
      <c r="Q758" s="1"/>
      <c r="R758" s="1"/>
      <c r="S758" s="1"/>
      <c r="T758" s="1"/>
    </row>
    <row r="759" spans="1:20" ht="13.5">
      <c r="A759" s="1"/>
      <c r="B759" s="1"/>
      <c r="C759" s="1"/>
      <c r="D759" s="1"/>
      <c r="E759" s="1"/>
      <c r="F759" s="1"/>
      <c r="G759" s="1"/>
      <c r="H759" s="1"/>
      <c r="I759" s="1"/>
      <c r="J759" s="1"/>
      <c r="K759" s="1"/>
      <c r="L759" s="1"/>
      <c r="M759" s="1"/>
      <c r="N759" s="1"/>
      <c r="O759" s="1"/>
      <c r="P759" s="1"/>
      <c r="Q759" s="1"/>
      <c r="R759" s="1"/>
      <c r="S759" s="1"/>
      <c r="T759" s="1"/>
    </row>
    <row r="760" spans="1:20" ht="13.5">
      <c r="A760" s="1"/>
      <c r="B760" s="1"/>
      <c r="C760" s="1"/>
      <c r="D760" s="1"/>
      <c r="E760" s="1"/>
      <c r="F760" s="1"/>
      <c r="G760" s="1"/>
      <c r="H760" s="1"/>
      <c r="I760" s="1"/>
      <c r="J760" s="1"/>
      <c r="K760" s="1"/>
      <c r="L760" s="1"/>
      <c r="M760" s="1"/>
      <c r="N760" s="1"/>
      <c r="O760" s="1"/>
      <c r="P760" s="1"/>
      <c r="Q760" s="1"/>
      <c r="R760" s="1"/>
      <c r="S760" s="1"/>
      <c r="T760" s="1"/>
    </row>
    <row r="761" spans="1:20" ht="13.5">
      <c r="A761" s="1"/>
      <c r="B761" s="1"/>
      <c r="C761" s="1"/>
      <c r="D761" s="1"/>
      <c r="E761" s="1"/>
      <c r="F761" s="1"/>
      <c r="G761" s="1"/>
      <c r="H761" s="1"/>
      <c r="I761" s="1"/>
      <c r="J761" s="1"/>
      <c r="K761" s="1"/>
      <c r="L761" s="1"/>
      <c r="M761" s="1"/>
      <c r="N761" s="1"/>
      <c r="O761" s="1"/>
      <c r="P761" s="1"/>
      <c r="Q761" s="1"/>
      <c r="R761" s="1"/>
      <c r="S761" s="1"/>
      <c r="T761" s="1"/>
    </row>
    <row r="762" spans="1:20" ht="13.5">
      <c r="A762" s="1"/>
      <c r="B762" s="1"/>
      <c r="C762" s="1"/>
      <c r="D762" s="1"/>
      <c r="E762" s="1"/>
      <c r="F762" s="1"/>
      <c r="G762" s="1"/>
      <c r="H762" s="1"/>
      <c r="I762" s="1"/>
      <c r="J762" s="1"/>
      <c r="K762" s="1"/>
      <c r="L762" s="1"/>
      <c r="M762" s="1"/>
      <c r="N762" s="1"/>
      <c r="O762" s="1"/>
      <c r="P762" s="1"/>
      <c r="Q762" s="1"/>
      <c r="R762" s="1"/>
      <c r="S762" s="1"/>
      <c r="T762" s="1"/>
    </row>
    <row r="763" spans="1:20" ht="13.5">
      <c r="A763" s="1"/>
      <c r="B763" s="1"/>
      <c r="C763" s="1"/>
      <c r="D763" s="1"/>
      <c r="E763" s="1"/>
      <c r="F763" s="1"/>
      <c r="G763" s="1"/>
      <c r="H763" s="1"/>
      <c r="I763" s="1"/>
      <c r="J763" s="1"/>
      <c r="K763" s="1"/>
      <c r="L763" s="1"/>
      <c r="M763" s="1"/>
      <c r="N763" s="1"/>
      <c r="O763" s="1"/>
      <c r="P763" s="1"/>
      <c r="Q763" s="1"/>
      <c r="R763" s="1"/>
      <c r="S763" s="1"/>
      <c r="T763" s="1"/>
    </row>
    <row r="764" spans="1:20" ht="13.5">
      <c r="A764" s="1"/>
      <c r="B764" s="1"/>
      <c r="C764" s="1"/>
      <c r="D764" s="1"/>
      <c r="E764" s="1"/>
      <c r="F764" s="1"/>
      <c r="G764" s="1"/>
      <c r="H764" s="1"/>
      <c r="I764" s="1"/>
      <c r="J764" s="1"/>
      <c r="K764" s="1"/>
      <c r="L764" s="1"/>
      <c r="M764" s="1"/>
      <c r="N764" s="1"/>
      <c r="O764" s="1"/>
      <c r="P764" s="1"/>
      <c r="Q764" s="1"/>
      <c r="R764" s="1"/>
      <c r="S764" s="1"/>
      <c r="T764" s="1"/>
    </row>
    <row r="765" spans="1:20" ht="13.5">
      <c r="A765" s="1"/>
      <c r="B765" s="1"/>
      <c r="C765" s="1"/>
      <c r="D765" s="1"/>
      <c r="E765" s="1"/>
      <c r="F765" s="1"/>
      <c r="G765" s="1"/>
      <c r="H765" s="1"/>
      <c r="I765" s="1"/>
      <c r="J765" s="1"/>
      <c r="K765" s="1"/>
      <c r="L765" s="1"/>
      <c r="M765" s="1"/>
      <c r="N765" s="1"/>
      <c r="O765" s="1"/>
      <c r="P765" s="1"/>
      <c r="Q765" s="1"/>
      <c r="R765" s="1"/>
      <c r="S765" s="1"/>
      <c r="T765" s="1"/>
    </row>
    <row r="766" spans="1:20" ht="13.5">
      <c r="A766" s="1"/>
      <c r="B766" s="1"/>
      <c r="C766" s="1"/>
      <c r="D766" s="1"/>
      <c r="E766" s="1"/>
      <c r="F766" s="1"/>
      <c r="G766" s="1"/>
      <c r="H766" s="1"/>
      <c r="I766" s="1"/>
      <c r="J766" s="1"/>
      <c r="K766" s="1"/>
      <c r="L766" s="1"/>
      <c r="M766" s="1"/>
      <c r="N766" s="1"/>
      <c r="O766" s="1"/>
      <c r="P766" s="1"/>
      <c r="Q766" s="1"/>
      <c r="R766" s="1"/>
      <c r="S766" s="1"/>
      <c r="T766" s="1"/>
    </row>
    <row r="767" spans="1:20" ht="13.5">
      <c r="A767" s="1"/>
      <c r="B767" s="1"/>
      <c r="C767" s="1"/>
      <c r="D767" s="1"/>
      <c r="E767" s="1"/>
      <c r="F767" s="1"/>
      <c r="G767" s="1"/>
      <c r="H767" s="1"/>
      <c r="I767" s="1"/>
      <c r="J767" s="1"/>
      <c r="K767" s="1"/>
      <c r="L767" s="1"/>
      <c r="M767" s="1"/>
      <c r="N767" s="1"/>
      <c r="O767" s="1"/>
      <c r="P767" s="1"/>
      <c r="Q767" s="1"/>
      <c r="R767" s="1"/>
      <c r="S767" s="1"/>
      <c r="T767" s="1"/>
    </row>
    <row r="768" spans="1:20" ht="13.5">
      <c r="A768" s="1"/>
      <c r="B768" s="1"/>
      <c r="C768" s="1"/>
      <c r="D768" s="1"/>
      <c r="E768" s="1"/>
      <c r="F768" s="1"/>
      <c r="G768" s="1"/>
      <c r="H768" s="1"/>
      <c r="I768" s="1"/>
      <c r="J768" s="1"/>
      <c r="K768" s="1"/>
      <c r="L768" s="1"/>
      <c r="M768" s="1"/>
      <c r="N768" s="1"/>
      <c r="O768" s="1"/>
      <c r="P768" s="1"/>
      <c r="Q768" s="1"/>
      <c r="R768" s="1"/>
      <c r="S768" s="1"/>
      <c r="T768" s="1"/>
    </row>
    <row r="769" spans="1:20" ht="13.5">
      <c r="A769" s="1"/>
      <c r="B769" s="1"/>
      <c r="C769" s="1"/>
      <c r="D769" s="1"/>
      <c r="E769" s="1"/>
      <c r="F769" s="1"/>
      <c r="G769" s="1"/>
      <c r="H769" s="1"/>
      <c r="I769" s="1"/>
      <c r="J769" s="1"/>
      <c r="K769" s="1"/>
      <c r="L769" s="1"/>
      <c r="M769" s="1"/>
      <c r="N769" s="1"/>
      <c r="O769" s="1"/>
      <c r="P769" s="1"/>
      <c r="Q769" s="1"/>
      <c r="R769" s="1"/>
      <c r="S769" s="1"/>
      <c r="T769" s="1"/>
    </row>
    <row r="770" spans="1:20" ht="13.5">
      <c r="A770" s="1"/>
      <c r="B770" s="1"/>
      <c r="C770" s="1"/>
      <c r="D770" s="1"/>
      <c r="E770" s="1"/>
      <c r="F770" s="1"/>
      <c r="G770" s="1"/>
      <c r="H770" s="1"/>
      <c r="I770" s="1"/>
      <c r="J770" s="1"/>
      <c r="K770" s="1"/>
      <c r="L770" s="1"/>
      <c r="M770" s="1"/>
      <c r="N770" s="1"/>
      <c r="O770" s="1"/>
      <c r="P770" s="1"/>
      <c r="Q770" s="1"/>
      <c r="R770" s="1"/>
      <c r="S770" s="1"/>
      <c r="T770" s="1"/>
    </row>
    <row r="771" spans="1:20" ht="13.5">
      <c r="A771" s="1"/>
      <c r="B771" s="1"/>
      <c r="C771" s="1"/>
      <c r="D771" s="1"/>
      <c r="E771" s="1"/>
      <c r="F771" s="1"/>
      <c r="G771" s="1"/>
      <c r="H771" s="1"/>
      <c r="I771" s="1"/>
      <c r="J771" s="1"/>
      <c r="K771" s="1"/>
      <c r="L771" s="1"/>
      <c r="M771" s="1"/>
      <c r="N771" s="1"/>
      <c r="O771" s="1"/>
      <c r="P771" s="1"/>
      <c r="Q771" s="1"/>
      <c r="R771" s="1"/>
      <c r="S771" s="1"/>
      <c r="T771" s="1"/>
    </row>
    <row r="772" spans="1:20" ht="13.5">
      <c r="A772" s="1"/>
      <c r="B772" s="1"/>
      <c r="C772" s="1"/>
      <c r="D772" s="1"/>
      <c r="E772" s="1"/>
      <c r="F772" s="1"/>
      <c r="G772" s="1"/>
      <c r="H772" s="1"/>
      <c r="I772" s="1"/>
      <c r="J772" s="1"/>
      <c r="K772" s="1"/>
      <c r="L772" s="1"/>
      <c r="M772" s="1"/>
      <c r="N772" s="1"/>
      <c r="O772" s="1"/>
      <c r="P772" s="1"/>
      <c r="Q772" s="1"/>
      <c r="R772" s="1"/>
      <c r="S772" s="1"/>
      <c r="T772" s="1"/>
    </row>
    <row r="773" spans="1:20" ht="13.5">
      <c r="A773" s="1"/>
      <c r="B773" s="1"/>
      <c r="C773" s="1"/>
      <c r="D773" s="1"/>
      <c r="E773" s="1"/>
      <c r="F773" s="1"/>
      <c r="G773" s="1"/>
      <c r="H773" s="1"/>
      <c r="I773" s="1"/>
      <c r="J773" s="1"/>
      <c r="K773" s="1"/>
      <c r="L773" s="1"/>
      <c r="M773" s="1"/>
      <c r="N773" s="1"/>
      <c r="O773" s="1"/>
      <c r="P773" s="1"/>
      <c r="Q773" s="1"/>
      <c r="R773" s="1"/>
      <c r="S773" s="1"/>
      <c r="T773" s="1"/>
    </row>
    <row r="774" spans="1:20" ht="13.5">
      <c r="A774" s="1"/>
      <c r="B774" s="1"/>
      <c r="C774" s="1"/>
      <c r="D774" s="1"/>
      <c r="E774" s="1"/>
      <c r="F774" s="1"/>
      <c r="G774" s="1"/>
      <c r="H774" s="1"/>
      <c r="I774" s="1"/>
      <c r="J774" s="1"/>
      <c r="K774" s="1"/>
      <c r="L774" s="1"/>
      <c r="M774" s="1"/>
      <c r="N774" s="1"/>
      <c r="O774" s="1"/>
      <c r="P774" s="1"/>
      <c r="Q774" s="1"/>
      <c r="R774" s="1"/>
      <c r="S774" s="1"/>
      <c r="T774" s="1"/>
    </row>
    <row r="775" spans="1:20" ht="13.5">
      <c r="A775" s="1"/>
      <c r="B775" s="1"/>
      <c r="C775" s="1"/>
      <c r="D775" s="1"/>
      <c r="E775" s="1"/>
      <c r="F775" s="1"/>
      <c r="G775" s="1"/>
      <c r="H775" s="1"/>
      <c r="I775" s="1"/>
      <c r="J775" s="1"/>
      <c r="K775" s="1"/>
      <c r="L775" s="1"/>
      <c r="M775" s="1"/>
      <c r="N775" s="1"/>
      <c r="O775" s="1"/>
      <c r="P775" s="1"/>
      <c r="Q775" s="1"/>
      <c r="R775" s="1"/>
      <c r="S775" s="1"/>
      <c r="T775" s="1"/>
    </row>
    <row r="776" spans="1:20" ht="13.5">
      <c r="A776" s="1"/>
      <c r="B776" s="1"/>
      <c r="C776" s="1"/>
      <c r="D776" s="1"/>
      <c r="E776" s="1"/>
      <c r="F776" s="1"/>
      <c r="G776" s="1"/>
      <c r="H776" s="1"/>
      <c r="I776" s="1"/>
      <c r="J776" s="1"/>
      <c r="K776" s="1"/>
      <c r="L776" s="1"/>
      <c r="M776" s="1"/>
      <c r="N776" s="1"/>
      <c r="O776" s="1"/>
      <c r="P776" s="1"/>
      <c r="Q776" s="1"/>
      <c r="R776" s="1"/>
      <c r="S776" s="1"/>
      <c r="T776" s="1"/>
    </row>
    <row r="777" spans="1:20" ht="13.5">
      <c r="A777" s="1"/>
      <c r="B777" s="1"/>
      <c r="C777" s="1"/>
      <c r="D777" s="1"/>
      <c r="E777" s="1"/>
      <c r="F777" s="1"/>
      <c r="G777" s="1"/>
      <c r="H777" s="1"/>
      <c r="I777" s="1"/>
      <c r="J777" s="1"/>
      <c r="K777" s="1"/>
      <c r="L777" s="1"/>
      <c r="M777" s="1"/>
      <c r="N777" s="1"/>
      <c r="O777" s="1"/>
      <c r="P777" s="1"/>
      <c r="Q777" s="1"/>
      <c r="R777" s="1"/>
      <c r="S777" s="1"/>
      <c r="T777" s="1"/>
    </row>
    <row r="778" spans="1:20" ht="13.5">
      <c r="A778" s="1"/>
      <c r="B778" s="1"/>
      <c r="C778" s="1"/>
      <c r="D778" s="1"/>
      <c r="E778" s="1"/>
      <c r="F778" s="1"/>
      <c r="G778" s="1"/>
      <c r="H778" s="1"/>
      <c r="I778" s="1"/>
      <c r="J778" s="1"/>
      <c r="K778" s="1"/>
      <c r="L778" s="1"/>
      <c r="M778" s="1"/>
      <c r="N778" s="1"/>
      <c r="O778" s="1"/>
      <c r="P778" s="1"/>
      <c r="Q778" s="1"/>
      <c r="R778" s="1"/>
      <c r="S778" s="1"/>
      <c r="T778" s="1"/>
    </row>
    <row r="779" spans="1:20" ht="13.5">
      <c r="A779" s="1"/>
      <c r="B779" s="1"/>
      <c r="C779" s="1"/>
      <c r="D779" s="1"/>
      <c r="E779" s="1"/>
      <c r="F779" s="1"/>
      <c r="G779" s="1"/>
      <c r="H779" s="1"/>
      <c r="I779" s="1"/>
      <c r="J779" s="1"/>
      <c r="K779" s="1"/>
      <c r="L779" s="1"/>
      <c r="M779" s="1"/>
      <c r="N779" s="1"/>
      <c r="O779" s="1"/>
      <c r="P779" s="1"/>
      <c r="Q779" s="1"/>
      <c r="R779" s="1"/>
      <c r="S779" s="1"/>
      <c r="T779" s="1"/>
    </row>
    <row r="780" spans="1:20" ht="13.5">
      <c r="A780" s="1"/>
      <c r="B780" s="1"/>
      <c r="C780" s="1"/>
      <c r="D780" s="1"/>
      <c r="E780" s="1"/>
      <c r="F780" s="1"/>
      <c r="G780" s="1"/>
      <c r="H780" s="1"/>
      <c r="I780" s="1"/>
      <c r="J780" s="1"/>
      <c r="K780" s="1"/>
      <c r="L780" s="1"/>
      <c r="M780" s="1"/>
      <c r="N780" s="1"/>
      <c r="O780" s="1"/>
      <c r="P780" s="1"/>
      <c r="Q780" s="1"/>
      <c r="R780" s="1"/>
      <c r="S780" s="1"/>
      <c r="T780" s="1"/>
    </row>
    <row r="781" spans="1:20" ht="13.5">
      <c r="A781" s="1"/>
      <c r="B781" s="1"/>
      <c r="C781" s="1"/>
      <c r="D781" s="1"/>
      <c r="E781" s="1"/>
      <c r="F781" s="1"/>
      <c r="G781" s="1"/>
      <c r="H781" s="1"/>
      <c r="I781" s="1"/>
      <c r="J781" s="1"/>
      <c r="K781" s="1"/>
      <c r="L781" s="1"/>
      <c r="M781" s="1"/>
      <c r="N781" s="1"/>
      <c r="O781" s="1"/>
      <c r="P781" s="1"/>
      <c r="Q781" s="1"/>
      <c r="R781" s="1"/>
      <c r="S781" s="1"/>
      <c r="T781" s="1"/>
    </row>
    <row r="782" spans="1:20" ht="13.5">
      <c r="A782" s="1"/>
      <c r="B782" s="1"/>
      <c r="C782" s="1"/>
      <c r="D782" s="1"/>
      <c r="E782" s="1"/>
      <c r="F782" s="1"/>
      <c r="G782" s="1"/>
      <c r="H782" s="1"/>
      <c r="I782" s="1"/>
      <c r="J782" s="1"/>
      <c r="K782" s="1"/>
      <c r="L782" s="1"/>
      <c r="M782" s="1"/>
      <c r="N782" s="1"/>
      <c r="O782" s="1"/>
      <c r="P782" s="1"/>
      <c r="Q782" s="1"/>
      <c r="R782" s="1"/>
      <c r="S782" s="1"/>
      <c r="T782" s="1"/>
    </row>
    <row r="783" spans="1:20" ht="13.5">
      <c r="A783" s="1"/>
      <c r="B783" s="1"/>
      <c r="C783" s="1"/>
      <c r="D783" s="1"/>
      <c r="E783" s="1"/>
      <c r="F783" s="1"/>
      <c r="G783" s="1"/>
      <c r="H783" s="1"/>
      <c r="I783" s="1"/>
      <c r="J783" s="1"/>
      <c r="K783" s="1"/>
      <c r="L783" s="1"/>
      <c r="M783" s="1"/>
      <c r="N783" s="1"/>
      <c r="O783" s="1"/>
      <c r="P783" s="1"/>
      <c r="Q783" s="1"/>
      <c r="R783" s="1"/>
      <c r="S783" s="1"/>
      <c r="T783" s="1"/>
    </row>
    <row r="784" spans="1:20" ht="13.5">
      <c r="A784" s="1"/>
      <c r="B784" s="1"/>
      <c r="C784" s="1"/>
      <c r="D784" s="1"/>
      <c r="E784" s="1"/>
      <c r="F784" s="1"/>
      <c r="G784" s="1"/>
      <c r="H784" s="1"/>
      <c r="I784" s="1"/>
      <c r="J784" s="1"/>
      <c r="K784" s="1"/>
      <c r="L784" s="1"/>
      <c r="M784" s="1"/>
      <c r="N784" s="1"/>
      <c r="O784" s="1"/>
      <c r="P784" s="1"/>
      <c r="Q784" s="1"/>
      <c r="R784" s="1"/>
      <c r="S784" s="1"/>
      <c r="T784" s="1"/>
    </row>
    <row r="785" spans="1:20" ht="13.5">
      <c r="A785" s="1"/>
      <c r="B785" s="1"/>
      <c r="C785" s="1"/>
      <c r="D785" s="1"/>
      <c r="E785" s="1"/>
      <c r="F785" s="1"/>
      <c r="G785" s="1"/>
      <c r="H785" s="1"/>
      <c r="I785" s="1"/>
      <c r="J785" s="1"/>
      <c r="K785" s="1"/>
      <c r="L785" s="1"/>
      <c r="M785" s="1"/>
      <c r="N785" s="1"/>
      <c r="O785" s="1"/>
      <c r="P785" s="1"/>
      <c r="Q785" s="1"/>
      <c r="R785" s="1"/>
      <c r="S785" s="1"/>
      <c r="T785" s="1"/>
    </row>
    <row r="786" spans="1:20" ht="13.5">
      <c r="A786" s="1"/>
      <c r="B786" s="1"/>
      <c r="C786" s="1"/>
      <c r="D786" s="1"/>
      <c r="E786" s="1"/>
      <c r="F786" s="1"/>
      <c r="G786" s="1"/>
      <c r="H786" s="1"/>
      <c r="I786" s="1"/>
      <c r="J786" s="1"/>
      <c r="K786" s="1"/>
      <c r="L786" s="1"/>
      <c r="M786" s="1"/>
      <c r="N786" s="1"/>
      <c r="O786" s="1"/>
      <c r="P786" s="1"/>
      <c r="Q786" s="1"/>
      <c r="R786" s="1"/>
      <c r="S786" s="1"/>
      <c r="T786" s="1"/>
    </row>
    <row r="787" spans="1:20" ht="13.5">
      <c r="A787" s="1"/>
      <c r="B787" s="1"/>
      <c r="C787" s="1"/>
      <c r="D787" s="1"/>
      <c r="E787" s="1"/>
      <c r="F787" s="1"/>
      <c r="G787" s="1"/>
      <c r="H787" s="1"/>
      <c r="I787" s="1"/>
      <c r="J787" s="1"/>
      <c r="K787" s="1"/>
      <c r="L787" s="1"/>
      <c r="M787" s="1"/>
      <c r="N787" s="1"/>
      <c r="O787" s="1"/>
      <c r="P787" s="1"/>
      <c r="Q787" s="1"/>
      <c r="R787" s="1"/>
      <c r="S787" s="1"/>
      <c r="T787" s="1"/>
    </row>
    <row r="788" spans="1:20" ht="13.5">
      <c r="A788" s="1"/>
      <c r="B788" s="1"/>
      <c r="C788" s="1"/>
      <c r="D788" s="1"/>
      <c r="E788" s="1"/>
      <c r="F788" s="1"/>
      <c r="G788" s="1"/>
      <c r="H788" s="1"/>
      <c r="I788" s="1"/>
      <c r="J788" s="1"/>
      <c r="K788" s="1"/>
      <c r="L788" s="1"/>
      <c r="M788" s="1"/>
      <c r="N788" s="1"/>
      <c r="O788" s="1"/>
      <c r="P788" s="1"/>
      <c r="Q788" s="1"/>
      <c r="R788" s="1"/>
      <c r="S788" s="1"/>
      <c r="T788" s="1"/>
    </row>
    <row r="789" spans="1:20" ht="13.5">
      <c r="A789" s="1"/>
      <c r="B789" s="1"/>
      <c r="C789" s="1"/>
      <c r="D789" s="1"/>
      <c r="E789" s="1"/>
      <c r="F789" s="1"/>
      <c r="G789" s="1"/>
      <c r="H789" s="1"/>
      <c r="I789" s="1"/>
      <c r="J789" s="1"/>
      <c r="K789" s="1"/>
      <c r="L789" s="1"/>
      <c r="M789" s="1"/>
      <c r="N789" s="1"/>
      <c r="O789" s="1"/>
      <c r="P789" s="1"/>
      <c r="Q789" s="1"/>
      <c r="R789" s="1"/>
      <c r="S789" s="1"/>
      <c r="T789" s="1"/>
    </row>
    <row r="790" spans="1:20" ht="13.5">
      <c r="A790" s="1"/>
      <c r="B790" s="1"/>
      <c r="C790" s="1"/>
      <c r="D790" s="1"/>
      <c r="E790" s="1"/>
      <c r="F790" s="1"/>
      <c r="G790" s="1"/>
      <c r="H790" s="1"/>
      <c r="I790" s="1"/>
      <c r="J790" s="1"/>
      <c r="K790" s="1"/>
      <c r="L790" s="1"/>
      <c r="M790" s="1"/>
      <c r="N790" s="1"/>
      <c r="O790" s="1"/>
      <c r="P790" s="1"/>
      <c r="Q790" s="1"/>
      <c r="R790" s="1"/>
      <c r="S790" s="1"/>
      <c r="T790" s="1"/>
    </row>
    <row r="791" spans="1:20" ht="13.5">
      <c r="A791" s="1"/>
      <c r="B791" s="1"/>
      <c r="C791" s="1"/>
      <c r="D791" s="1"/>
      <c r="E791" s="1"/>
      <c r="F791" s="1"/>
      <c r="G791" s="1"/>
      <c r="H791" s="1"/>
      <c r="I791" s="1"/>
      <c r="J791" s="1"/>
      <c r="K791" s="1"/>
      <c r="L791" s="1"/>
      <c r="M791" s="1"/>
      <c r="N791" s="1"/>
      <c r="O791" s="1"/>
      <c r="P791" s="1"/>
      <c r="Q791" s="1"/>
      <c r="R791" s="1"/>
      <c r="S791" s="1"/>
      <c r="T791" s="1"/>
    </row>
    <row r="792" spans="1:20" ht="13.5">
      <c r="A792" s="1"/>
      <c r="B792" s="1"/>
      <c r="C792" s="1"/>
      <c r="D792" s="1"/>
      <c r="E792" s="1"/>
      <c r="F792" s="1"/>
      <c r="G792" s="1"/>
      <c r="H792" s="1"/>
      <c r="I792" s="1"/>
      <c r="J792" s="1"/>
      <c r="K792" s="1"/>
      <c r="L792" s="1"/>
      <c r="M792" s="1"/>
      <c r="N792" s="1"/>
      <c r="O792" s="1"/>
      <c r="P792" s="1"/>
      <c r="Q792" s="1"/>
      <c r="R792" s="1"/>
      <c r="S792" s="1"/>
      <c r="T792" s="1"/>
    </row>
    <row r="793" spans="1:20" ht="13.5">
      <c r="A793" s="1"/>
      <c r="B793" s="1"/>
      <c r="C793" s="1"/>
      <c r="D793" s="1"/>
      <c r="E793" s="1"/>
      <c r="F793" s="1"/>
      <c r="G793" s="1"/>
      <c r="H793" s="1"/>
      <c r="I793" s="1"/>
      <c r="J793" s="1"/>
      <c r="K793" s="1"/>
      <c r="L793" s="1"/>
      <c r="M793" s="1"/>
      <c r="N793" s="1"/>
      <c r="O793" s="1"/>
      <c r="P793" s="1"/>
      <c r="Q793" s="1"/>
      <c r="R793" s="1"/>
      <c r="S793" s="1"/>
      <c r="T793" s="1"/>
    </row>
    <row r="794" spans="1:20" ht="13.5">
      <c r="A794" s="1"/>
      <c r="B794" s="1"/>
      <c r="C794" s="1"/>
      <c r="D794" s="1"/>
      <c r="E794" s="1"/>
      <c r="F794" s="1"/>
      <c r="G794" s="1"/>
      <c r="H794" s="1"/>
      <c r="I794" s="1"/>
      <c r="J794" s="1"/>
      <c r="K794" s="1"/>
      <c r="L794" s="1"/>
      <c r="M794" s="1"/>
      <c r="N794" s="1"/>
      <c r="O794" s="1"/>
      <c r="P794" s="1"/>
      <c r="Q794" s="1"/>
      <c r="R794" s="1"/>
      <c r="S794" s="1"/>
      <c r="T794" s="1"/>
    </row>
    <row r="795" spans="1:20" ht="13.5">
      <c r="A795" s="1"/>
      <c r="B795" s="1"/>
      <c r="C795" s="1"/>
      <c r="D795" s="1"/>
      <c r="E795" s="1"/>
      <c r="F795" s="1"/>
      <c r="G795" s="1"/>
      <c r="H795" s="1"/>
      <c r="I795" s="1"/>
      <c r="J795" s="1"/>
      <c r="K795" s="1"/>
      <c r="L795" s="1"/>
      <c r="M795" s="1"/>
      <c r="N795" s="1"/>
      <c r="O795" s="1"/>
      <c r="P795" s="1"/>
      <c r="Q795" s="1"/>
      <c r="R795" s="1"/>
      <c r="S795" s="1"/>
      <c r="T795" s="1"/>
    </row>
    <row r="796" spans="1:20" ht="13.5">
      <c r="A796" s="1"/>
      <c r="B796" s="1"/>
      <c r="C796" s="1"/>
      <c r="D796" s="1"/>
      <c r="E796" s="1"/>
      <c r="F796" s="1"/>
      <c r="G796" s="1"/>
      <c r="H796" s="1"/>
      <c r="I796" s="1"/>
      <c r="J796" s="1"/>
      <c r="K796" s="1"/>
      <c r="L796" s="1"/>
      <c r="M796" s="1"/>
      <c r="N796" s="1"/>
      <c r="O796" s="1"/>
      <c r="P796" s="1"/>
      <c r="Q796" s="1"/>
      <c r="R796" s="1"/>
      <c r="S796" s="1"/>
      <c r="T796" s="1"/>
    </row>
    <row r="797" spans="1:20" ht="13.5">
      <c r="A797" s="1"/>
      <c r="B797" s="1"/>
      <c r="C797" s="1"/>
      <c r="D797" s="1"/>
      <c r="E797" s="1"/>
      <c r="F797" s="1"/>
      <c r="G797" s="1"/>
      <c r="H797" s="1"/>
      <c r="I797" s="1"/>
      <c r="J797" s="1"/>
      <c r="K797" s="1"/>
      <c r="L797" s="1"/>
      <c r="M797" s="1"/>
      <c r="N797" s="1"/>
      <c r="O797" s="1"/>
      <c r="P797" s="1"/>
      <c r="Q797" s="1"/>
      <c r="R797" s="1"/>
      <c r="S797" s="1"/>
      <c r="T797" s="1"/>
    </row>
    <row r="798" spans="1:20" ht="13.5">
      <c r="A798" s="1"/>
      <c r="B798" s="1"/>
      <c r="C798" s="1"/>
      <c r="D798" s="1"/>
      <c r="E798" s="1"/>
      <c r="F798" s="1"/>
      <c r="G798" s="1"/>
      <c r="H798" s="1"/>
      <c r="I798" s="1"/>
      <c r="J798" s="1"/>
      <c r="K798" s="1"/>
      <c r="L798" s="1"/>
      <c r="M798" s="1"/>
      <c r="N798" s="1"/>
      <c r="O798" s="1"/>
      <c r="P798" s="1"/>
      <c r="Q798" s="1"/>
      <c r="R798" s="1"/>
      <c r="S798" s="1"/>
      <c r="T798" s="1"/>
    </row>
    <row r="799" spans="1:20" ht="13.5">
      <c r="A799" s="1"/>
      <c r="B799" s="1"/>
      <c r="C799" s="1"/>
      <c r="D799" s="1"/>
      <c r="E799" s="1"/>
      <c r="F799" s="1"/>
      <c r="G799" s="1"/>
      <c r="H799" s="1"/>
      <c r="I799" s="1"/>
      <c r="J799" s="1"/>
      <c r="K799" s="1"/>
      <c r="L799" s="1"/>
      <c r="M799" s="1"/>
      <c r="N799" s="1"/>
      <c r="O799" s="1"/>
      <c r="P799" s="1"/>
      <c r="Q799" s="1"/>
      <c r="R799" s="1"/>
      <c r="S799" s="1"/>
      <c r="T799" s="1"/>
    </row>
    <row r="800" spans="1:20" ht="13.5">
      <c r="A800" s="1"/>
      <c r="B800" s="1"/>
      <c r="C800" s="1"/>
      <c r="D800" s="1"/>
      <c r="E800" s="1"/>
      <c r="F800" s="1"/>
      <c r="G800" s="1"/>
      <c r="H800" s="1"/>
      <c r="I800" s="1"/>
      <c r="J800" s="1"/>
      <c r="K800" s="1"/>
      <c r="L800" s="1"/>
      <c r="M800" s="1"/>
      <c r="N800" s="1"/>
      <c r="O800" s="1"/>
      <c r="P800" s="1"/>
      <c r="Q800" s="1"/>
      <c r="R800" s="1"/>
      <c r="S800" s="1"/>
      <c r="T800" s="1"/>
    </row>
    <row r="801" spans="1:20" ht="13.5">
      <c r="A801" s="1"/>
      <c r="B801" s="1"/>
      <c r="C801" s="1"/>
      <c r="D801" s="1"/>
      <c r="E801" s="1"/>
      <c r="F801" s="1"/>
      <c r="G801" s="1"/>
      <c r="H801" s="1"/>
      <c r="I801" s="1"/>
      <c r="J801" s="1"/>
      <c r="K801" s="1"/>
      <c r="L801" s="1"/>
      <c r="M801" s="1"/>
      <c r="N801" s="1"/>
      <c r="O801" s="1"/>
      <c r="P801" s="1"/>
      <c r="Q801" s="1"/>
      <c r="R801" s="1"/>
      <c r="S801" s="1"/>
      <c r="T801" s="1"/>
    </row>
    <row r="802" spans="1:20" ht="13.5">
      <c r="A802" s="1"/>
      <c r="B802" s="1"/>
      <c r="C802" s="1"/>
      <c r="D802" s="1"/>
      <c r="E802" s="1"/>
      <c r="F802" s="1"/>
      <c r="G802" s="1"/>
      <c r="H802" s="1"/>
      <c r="I802" s="1"/>
      <c r="J802" s="1"/>
      <c r="K802" s="1"/>
      <c r="L802" s="1"/>
      <c r="M802" s="1"/>
      <c r="N802" s="1"/>
      <c r="O802" s="1"/>
      <c r="P802" s="1"/>
      <c r="Q802" s="1"/>
      <c r="R802" s="1"/>
      <c r="S802" s="1"/>
      <c r="T802" s="1"/>
    </row>
    <row r="803" spans="1:20" ht="13.5">
      <c r="A803" s="1"/>
      <c r="B803" s="1"/>
      <c r="C803" s="1"/>
      <c r="D803" s="1"/>
      <c r="E803" s="1"/>
      <c r="F803" s="1"/>
      <c r="G803" s="1"/>
      <c r="H803" s="1"/>
      <c r="I803" s="1"/>
      <c r="J803" s="1"/>
      <c r="K803" s="1"/>
      <c r="L803" s="1"/>
      <c r="M803" s="1"/>
      <c r="N803" s="1"/>
      <c r="O803" s="1"/>
      <c r="P803" s="1"/>
      <c r="Q803" s="1"/>
      <c r="R803" s="1"/>
      <c r="S803" s="1"/>
      <c r="T803" s="1"/>
    </row>
    <row r="804" spans="1:20" ht="13.5">
      <c r="A804" s="1"/>
      <c r="B804" s="1"/>
      <c r="C804" s="1"/>
      <c r="D804" s="1"/>
      <c r="E804" s="1"/>
      <c r="F804" s="1"/>
      <c r="G804" s="1"/>
      <c r="H804" s="1"/>
      <c r="I804" s="1"/>
      <c r="J804" s="1"/>
      <c r="K804" s="1"/>
      <c r="L804" s="1"/>
      <c r="M804" s="1"/>
      <c r="N804" s="1"/>
      <c r="O804" s="1"/>
      <c r="P804" s="1"/>
      <c r="Q804" s="1"/>
      <c r="R804" s="1"/>
      <c r="S804" s="1"/>
      <c r="T804" s="1"/>
    </row>
    <row r="805" spans="1:20" ht="13.5">
      <c r="A805" s="1"/>
      <c r="B805" s="1"/>
      <c r="C805" s="1"/>
      <c r="D805" s="1"/>
      <c r="E805" s="1"/>
      <c r="F805" s="1"/>
      <c r="G805" s="1"/>
      <c r="H805" s="1"/>
      <c r="I805" s="1"/>
      <c r="J805" s="1"/>
      <c r="K805" s="1"/>
      <c r="L805" s="1"/>
      <c r="M805" s="1"/>
      <c r="N805" s="1"/>
      <c r="O805" s="1"/>
      <c r="P805" s="1"/>
      <c r="Q805" s="1"/>
      <c r="R805" s="1"/>
      <c r="S805" s="1"/>
      <c r="T805" s="1"/>
    </row>
    <row r="806" spans="1:20" ht="13.5">
      <c r="A806" s="1"/>
      <c r="B806" s="1"/>
      <c r="C806" s="1"/>
      <c r="D806" s="1"/>
      <c r="E806" s="1"/>
      <c r="F806" s="1"/>
      <c r="G806" s="1"/>
      <c r="H806" s="1"/>
      <c r="I806" s="1"/>
      <c r="J806" s="1"/>
      <c r="K806" s="1"/>
      <c r="L806" s="1"/>
      <c r="M806" s="1"/>
      <c r="N806" s="1"/>
      <c r="O806" s="1"/>
      <c r="P806" s="1"/>
      <c r="Q806" s="1"/>
      <c r="R806" s="1"/>
      <c r="S806" s="1"/>
      <c r="T806" s="1"/>
    </row>
    <row r="807" spans="1:20" ht="13.5">
      <c r="A807" s="1"/>
      <c r="B807" s="1"/>
      <c r="C807" s="1"/>
      <c r="D807" s="1"/>
      <c r="E807" s="1"/>
      <c r="F807" s="1"/>
      <c r="G807" s="1"/>
      <c r="H807" s="1"/>
      <c r="I807" s="1"/>
      <c r="J807" s="1"/>
      <c r="K807" s="1"/>
      <c r="L807" s="1"/>
      <c r="M807" s="1"/>
      <c r="N807" s="1"/>
      <c r="O807" s="1"/>
      <c r="P807" s="1"/>
      <c r="Q807" s="1"/>
      <c r="R807" s="1"/>
      <c r="S807" s="1"/>
      <c r="T807" s="1"/>
    </row>
    <row r="808" spans="1:20" ht="13.5">
      <c r="A808" s="1"/>
      <c r="B808" s="1"/>
      <c r="C808" s="1"/>
      <c r="D808" s="1"/>
      <c r="E808" s="1"/>
      <c r="F808" s="1"/>
      <c r="G808" s="1"/>
      <c r="H808" s="1"/>
      <c r="I808" s="1"/>
      <c r="J808" s="1"/>
      <c r="K808" s="1"/>
      <c r="L808" s="1"/>
      <c r="M808" s="1"/>
      <c r="N808" s="1"/>
      <c r="O808" s="1"/>
      <c r="P808" s="1"/>
      <c r="Q808" s="1"/>
      <c r="R808" s="1"/>
      <c r="S808" s="1"/>
      <c r="T808" s="1"/>
    </row>
    <row r="809" spans="1:20" ht="13.5">
      <c r="A809" s="1"/>
      <c r="B809" s="1"/>
      <c r="C809" s="1"/>
      <c r="D809" s="1"/>
      <c r="E809" s="1"/>
      <c r="F809" s="1"/>
      <c r="G809" s="1"/>
      <c r="H809" s="1"/>
      <c r="I809" s="1"/>
      <c r="J809" s="1"/>
      <c r="K809" s="1"/>
      <c r="L809" s="1"/>
      <c r="M809" s="1"/>
      <c r="N809" s="1"/>
      <c r="O809" s="1"/>
      <c r="P809" s="1"/>
      <c r="Q809" s="1"/>
      <c r="R809" s="1"/>
      <c r="S809" s="1"/>
      <c r="T809" s="1"/>
    </row>
    <row r="810" spans="1:20" ht="13.5">
      <c r="A810" s="1"/>
      <c r="B810" s="1"/>
      <c r="C810" s="1"/>
      <c r="D810" s="1"/>
      <c r="E810" s="1"/>
      <c r="F810" s="1"/>
      <c r="G810" s="1"/>
      <c r="H810" s="1"/>
      <c r="I810" s="1"/>
      <c r="J810" s="1"/>
      <c r="K810" s="1"/>
      <c r="L810" s="1"/>
      <c r="M810" s="1"/>
      <c r="N810" s="1"/>
      <c r="O810" s="1"/>
      <c r="P810" s="1"/>
      <c r="Q810" s="1"/>
      <c r="R810" s="1"/>
      <c r="S810" s="1"/>
      <c r="T810" s="1"/>
    </row>
    <row r="811" spans="1:20" ht="13.5">
      <c r="A811" s="1"/>
      <c r="B811" s="1"/>
      <c r="C811" s="1"/>
      <c r="D811" s="1"/>
      <c r="E811" s="1"/>
      <c r="F811" s="1"/>
      <c r="G811" s="1"/>
      <c r="H811" s="1"/>
      <c r="I811" s="1"/>
      <c r="J811" s="1"/>
      <c r="K811" s="1"/>
      <c r="L811" s="1"/>
      <c r="M811" s="1"/>
      <c r="N811" s="1"/>
      <c r="O811" s="1"/>
      <c r="P811" s="1"/>
      <c r="Q811" s="1"/>
      <c r="R811" s="1"/>
      <c r="S811" s="1"/>
      <c r="T811" s="1"/>
    </row>
    <row r="812" spans="1:20" ht="13.5">
      <c r="A812" s="1"/>
      <c r="B812" s="1"/>
      <c r="C812" s="1"/>
      <c r="D812" s="1"/>
      <c r="E812" s="1"/>
      <c r="F812" s="1"/>
      <c r="G812" s="1"/>
      <c r="H812" s="1"/>
      <c r="I812" s="1"/>
      <c r="J812" s="1"/>
      <c r="K812" s="1"/>
      <c r="L812" s="1"/>
      <c r="M812" s="1"/>
      <c r="N812" s="1"/>
      <c r="O812" s="1"/>
      <c r="P812" s="1"/>
      <c r="Q812" s="1"/>
      <c r="R812" s="1"/>
      <c r="S812" s="1"/>
      <c r="T812" s="1"/>
    </row>
    <row r="813" spans="1:20" ht="13.5">
      <c r="A813" s="1"/>
      <c r="B813" s="1"/>
      <c r="C813" s="1"/>
      <c r="D813" s="1"/>
      <c r="E813" s="1"/>
      <c r="F813" s="1"/>
      <c r="G813" s="1"/>
      <c r="H813" s="1"/>
      <c r="I813" s="1"/>
      <c r="J813" s="1"/>
      <c r="K813" s="1"/>
      <c r="L813" s="1"/>
      <c r="M813" s="1"/>
      <c r="N813" s="1"/>
      <c r="O813" s="1"/>
      <c r="P813" s="1"/>
      <c r="Q813" s="1"/>
      <c r="R813" s="1"/>
      <c r="S813" s="1"/>
      <c r="T813" s="1"/>
    </row>
    <row r="814" spans="1:20" ht="13.5">
      <c r="A814" s="1"/>
      <c r="B814" s="1"/>
      <c r="C814" s="1"/>
      <c r="D814" s="1"/>
      <c r="E814" s="1"/>
      <c r="F814" s="1"/>
      <c r="G814" s="1"/>
      <c r="H814" s="1"/>
      <c r="I814" s="1"/>
      <c r="J814" s="1"/>
      <c r="K814" s="1"/>
      <c r="L814" s="1"/>
      <c r="M814" s="1"/>
      <c r="N814" s="1"/>
      <c r="O814" s="1"/>
      <c r="P814" s="1"/>
      <c r="Q814" s="1"/>
      <c r="R814" s="1"/>
      <c r="S814" s="1"/>
      <c r="T814" s="1"/>
    </row>
    <row r="815" spans="1:20" ht="13.5">
      <c r="A815" s="1"/>
      <c r="B815" s="1"/>
      <c r="C815" s="1"/>
      <c r="D815" s="1"/>
      <c r="E815" s="1"/>
      <c r="F815" s="1"/>
      <c r="G815" s="1"/>
      <c r="H815" s="1"/>
      <c r="I815" s="1"/>
      <c r="J815" s="1"/>
      <c r="K815" s="1"/>
      <c r="L815" s="1"/>
      <c r="M815" s="1"/>
      <c r="N815" s="1"/>
      <c r="O815" s="1"/>
      <c r="P815" s="1"/>
      <c r="Q815" s="1"/>
      <c r="R815" s="1"/>
      <c r="S815" s="1"/>
      <c r="T815" s="1"/>
    </row>
    <row r="816" spans="1:20" ht="13.5">
      <c r="A816" s="1"/>
      <c r="B816" s="1"/>
      <c r="C816" s="1"/>
      <c r="D816" s="1"/>
      <c r="E816" s="1"/>
      <c r="F816" s="1"/>
      <c r="G816" s="1"/>
      <c r="H816" s="1"/>
      <c r="I816" s="1"/>
      <c r="J816" s="1"/>
      <c r="K816" s="1"/>
      <c r="L816" s="1"/>
      <c r="M816" s="1"/>
      <c r="N816" s="1"/>
      <c r="O816" s="1"/>
      <c r="P816" s="1"/>
      <c r="Q816" s="1"/>
      <c r="R816" s="1"/>
      <c r="S816" s="1"/>
      <c r="T816" s="1"/>
    </row>
    <row r="817" spans="1:20" ht="13.5">
      <c r="A817" s="1"/>
      <c r="B817" s="1"/>
      <c r="C817" s="1"/>
      <c r="D817" s="1"/>
      <c r="E817" s="1"/>
      <c r="F817" s="1"/>
      <c r="G817" s="1"/>
      <c r="H817" s="1"/>
      <c r="I817" s="1"/>
      <c r="J817" s="1"/>
      <c r="K817" s="1"/>
      <c r="L817" s="1"/>
      <c r="M817" s="1"/>
      <c r="N817" s="1"/>
      <c r="O817" s="1"/>
      <c r="P817" s="1"/>
      <c r="Q817" s="1"/>
      <c r="R817" s="1"/>
      <c r="S817" s="1"/>
      <c r="T817" s="1"/>
    </row>
    <row r="818" spans="1:20" ht="13.5">
      <c r="A818" s="1"/>
      <c r="B818" s="1"/>
      <c r="C818" s="1"/>
      <c r="D818" s="1"/>
      <c r="E818" s="1"/>
      <c r="F818" s="1"/>
      <c r="G818" s="1"/>
      <c r="H818" s="1"/>
      <c r="I818" s="1"/>
      <c r="J818" s="1"/>
      <c r="K818" s="1"/>
      <c r="L818" s="1"/>
      <c r="M818" s="1"/>
      <c r="N818" s="1"/>
      <c r="O818" s="1"/>
      <c r="P818" s="1"/>
      <c r="Q818" s="1"/>
      <c r="R818" s="1"/>
      <c r="S818" s="1"/>
      <c r="T818" s="1"/>
    </row>
    <row r="819" spans="1:20" ht="13.5">
      <c r="A819" s="1"/>
      <c r="B819" s="1"/>
      <c r="C819" s="1"/>
      <c r="D819" s="1"/>
      <c r="E819" s="1"/>
      <c r="F819" s="1"/>
      <c r="G819" s="1"/>
      <c r="H819" s="1"/>
      <c r="I819" s="1"/>
      <c r="J819" s="1"/>
      <c r="K819" s="1"/>
      <c r="L819" s="1"/>
      <c r="M819" s="1"/>
      <c r="N819" s="1"/>
      <c r="O819" s="1"/>
      <c r="P819" s="1"/>
      <c r="Q819" s="1"/>
      <c r="R819" s="1"/>
      <c r="S819" s="1"/>
      <c r="T819" s="1"/>
    </row>
    <row r="820" spans="1:20" ht="13.5">
      <c r="A820" s="1"/>
      <c r="B820" s="1"/>
      <c r="C820" s="1"/>
      <c r="D820" s="1"/>
      <c r="E820" s="1"/>
      <c r="F820" s="1"/>
      <c r="G820" s="1"/>
      <c r="H820" s="1"/>
      <c r="I820" s="1"/>
      <c r="J820" s="1"/>
      <c r="K820" s="1"/>
      <c r="L820" s="1"/>
      <c r="M820" s="1"/>
      <c r="N820" s="1"/>
      <c r="O820" s="1"/>
      <c r="P820" s="1"/>
      <c r="Q820" s="1"/>
      <c r="R820" s="1"/>
      <c r="S820" s="1"/>
      <c r="T820" s="1"/>
    </row>
    <row r="821" spans="1:20" ht="13.5">
      <c r="A821" s="1"/>
      <c r="B821" s="1"/>
      <c r="C821" s="1"/>
      <c r="D821" s="1"/>
      <c r="E821" s="1"/>
      <c r="F821" s="1"/>
      <c r="G821" s="1"/>
      <c r="H821" s="1"/>
      <c r="I821" s="1"/>
      <c r="J821" s="1"/>
      <c r="K821" s="1"/>
      <c r="L821" s="1"/>
      <c r="M821" s="1"/>
      <c r="N821" s="1"/>
      <c r="O821" s="1"/>
      <c r="P821" s="1"/>
      <c r="Q821" s="1"/>
      <c r="R821" s="1"/>
      <c r="S821" s="1"/>
      <c r="T821" s="1"/>
    </row>
    <row r="822" spans="1:20" ht="13.5">
      <c r="A822" s="1"/>
      <c r="B822" s="1"/>
      <c r="C822" s="1"/>
      <c r="D822" s="1"/>
      <c r="E822" s="1"/>
      <c r="F822" s="1"/>
      <c r="G822" s="1"/>
      <c r="H822" s="1"/>
      <c r="I822" s="1"/>
      <c r="J822" s="1"/>
      <c r="K822" s="1"/>
      <c r="L822" s="1"/>
      <c r="M822" s="1"/>
      <c r="N822" s="1"/>
      <c r="O822" s="1"/>
      <c r="P822" s="1"/>
      <c r="Q822" s="1"/>
      <c r="R822" s="1"/>
      <c r="S822" s="1"/>
      <c r="T822" s="1"/>
    </row>
    <row r="823" spans="1:20" ht="13.5">
      <c r="A823" s="1"/>
      <c r="B823" s="1"/>
      <c r="C823" s="1"/>
      <c r="D823" s="1"/>
      <c r="E823" s="1"/>
      <c r="F823" s="1"/>
      <c r="G823" s="1"/>
      <c r="H823" s="1"/>
      <c r="I823" s="1"/>
      <c r="J823" s="1"/>
      <c r="K823" s="1"/>
      <c r="L823" s="1"/>
      <c r="M823" s="1"/>
      <c r="N823" s="1"/>
      <c r="O823" s="1"/>
      <c r="P823" s="1"/>
      <c r="Q823" s="1"/>
      <c r="R823" s="1"/>
      <c r="S823" s="1"/>
      <c r="T823" s="1"/>
    </row>
    <row r="824" spans="1:20" ht="13.5">
      <c r="A824" s="1"/>
      <c r="B824" s="1"/>
      <c r="C824" s="1"/>
      <c r="D824" s="1"/>
      <c r="E824" s="1"/>
      <c r="F824" s="1"/>
      <c r="G824" s="1"/>
      <c r="H824" s="1"/>
      <c r="I824" s="1"/>
      <c r="J824" s="1"/>
      <c r="K824" s="1"/>
      <c r="L824" s="1"/>
      <c r="M824" s="1"/>
      <c r="N824" s="1"/>
      <c r="O824" s="1"/>
      <c r="P824" s="1"/>
      <c r="Q824" s="1"/>
      <c r="R824" s="1"/>
      <c r="S824" s="1"/>
      <c r="T824" s="1"/>
    </row>
    <row r="825" spans="1:20" ht="13.5">
      <c r="A825" s="1"/>
      <c r="B825" s="1"/>
      <c r="C825" s="1"/>
      <c r="D825" s="1"/>
      <c r="E825" s="1"/>
      <c r="F825" s="1"/>
      <c r="G825" s="1"/>
      <c r="H825" s="1"/>
      <c r="I825" s="1"/>
      <c r="J825" s="1"/>
      <c r="K825" s="1"/>
      <c r="L825" s="1"/>
      <c r="M825" s="1"/>
      <c r="N825" s="1"/>
      <c r="O825" s="1"/>
      <c r="P825" s="1"/>
      <c r="Q825" s="1"/>
      <c r="R825" s="1"/>
      <c r="S825" s="1"/>
      <c r="T825" s="1"/>
    </row>
    <row r="826" spans="1:20" ht="13.5">
      <c r="A826" s="1"/>
      <c r="B826" s="1"/>
      <c r="C826" s="1"/>
      <c r="D826" s="1"/>
      <c r="E826" s="1"/>
      <c r="F826" s="1"/>
      <c r="G826" s="1"/>
      <c r="H826" s="1"/>
      <c r="I826" s="1"/>
      <c r="J826" s="1"/>
      <c r="K826" s="1"/>
      <c r="L826" s="1"/>
      <c r="M826" s="1"/>
      <c r="N826" s="1"/>
      <c r="O826" s="1"/>
      <c r="P826" s="1"/>
      <c r="Q826" s="1"/>
      <c r="R826" s="1"/>
      <c r="S826" s="1"/>
      <c r="T826" s="1"/>
    </row>
    <row r="827" spans="1:20" ht="13.5">
      <c r="A827" s="1"/>
      <c r="B827" s="1"/>
      <c r="C827" s="1"/>
      <c r="D827" s="1"/>
      <c r="E827" s="1"/>
      <c r="F827" s="1"/>
      <c r="G827" s="1"/>
      <c r="H827" s="1"/>
      <c r="I827" s="1"/>
      <c r="J827" s="1"/>
      <c r="K827" s="1"/>
      <c r="L827" s="1"/>
      <c r="M827" s="1"/>
      <c r="N827" s="1"/>
      <c r="O827" s="1"/>
      <c r="P827" s="1"/>
      <c r="Q827" s="1"/>
      <c r="R827" s="1"/>
      <c r="S827" s="1"/>
      <c r="T827" s="1"/>
    </row>
    <row r="828" spans="1:20" ht="13.5">
      <c r="A828" s="1"/>
      <c r="B828" s="1"/>
      <c r="C828" s="1"/>
      <c r="D828" s="1"/>
      <c r="E828" s="1"/>
      <c r="F828" s="1"/>
      <c r="G828" s="1"/>
      <c r="H828" s="1"/>
      <c r="I828" s="1"/>
      <c r="J828" s="1"/>
      <c r="K828" s="1"/>
      <c r="L828" s="1"/>
      <c r="M828" s="1"/>
      <c r="N828" s="1"/>
      <c r="O828" s="1"/>
      <c r="P828" s="1"/>
      <c r="Q828" s="1"/>
      <c r="R828" s="1"/>
      <c r="S828" s="1"/>
      <c r="T828" s="1"/>
    </row>
    <row r="829" spans="1:20" ht="13.5">
      <c r="A829" s="1"/>
      <c r="B829" s="1"/>
      <c r="C829" s="1"/>
      <c r="D829" s="1"/>
      <c r="E829" s="1"/>
      <c r="F829" s="1"/>
      <c r="G829" s="1"/>
      <c r="H829" s="1"/>
      <c r="I829" s="1"/>
      <c r="J829" s="1"/>
      <c r="K829" s="1"/>
      <c r="L829" s="1"/>
      <c r="M829" s="1"/>
      <c r="N829" s="1"/>
      <c r="O829" s="1"/>
      <c r="P829" s="1"/>
      <c r="Q829" s="1"/>
      <c r="R829" s="1"/>
      <c r="S829" s="1"/>
      <c r="T829" s="1"/>
    </row>
    <row r="830" spans="1:20" ht="13.5">
      <c r="A830" s="1"/>
      <c r="B830" s="1"/>
      <c r="C830" s="1"/>
      <c r="D830" s="1"/>
      <c r="E830" s="1"/>
      <c r="F830" s="1"/>
      <c r="G830" s="1"/>
      <c r="H830" s="1"/>
      <c r="I830" s="1"/>
      <c r="J830" s="1"/>
      <c r="K830" s="1"/>
      <c r="L830" s="1"/>
      <c r="M830" s="1"/>
      <c r="N830" s="1"/>
      <c r="O830" s="1"/>
      <c r="P830" s="1"/>
      <c r="Q830" s="1"/>
      <c r="R830" s="1"/>
      <c r="S830" s="1"/>
      <c r="T830" s="1"/>
    </row>
    <row r="831" spans="1:20" ht="13.5">
      <c r="A831" s="1"/>
      <c r="B831" s="1"/>
      <c r="C831" s="1"/>
      <c r="D831" s="1"/>
      <c r="E831" s="1"/>
      <c r="F831" s="1"/>
      <c r="G831" s="1"/>
      <c r="H831" s="1"/>
      <c r="I831" s="1"/>
      <c r="J831" s="1"/>
      <c r="K831" s="1"/>
      <c r="L831" s="1"/>
      <c r="M831" s="1"/>
      <c r="N831" s="1"/>
      <c r="O831" s="1"/>
      <c r="P831" s="1"/>
      <c r="Q831" s="1"/>
      <c r="R831" s="1"/>
      <c r="S831" s="1"/>
      <c r="T831" s="1"/>
    </row>
    <row r="832" spans="1:20" ht="13.5">
      <c r="A832" s="1"/>
      <c r="B832" s="1"/>
      <c r="C832" s="1"/>
      <c r="D832" s="1"/>
      <c r="E832" s="1"/>
      <c r="F832" s="1"/>
      <c r="G832" s="1"/>
      <c r="H832" s="1"/>
      <c r="I832" s="1"/>
      <c r="J832" s="1"/>
      <c r="K832" s="1"/>
      <c r="L832" s="1"/>
      <c r="M832" s="1"/>
      <c r="N832" s="1"/>
      <c r="O832" s="1"/>
      <c r="P832" s="1"/>
      <c r="Q832" s="1"/>
      <c r="R832" s="1"/>
      <c r="S832" s="1"/>
      <c r="T832" s="1"/>
    </row>
    <row r="833" spans="1:20" ht="13.5">
      <c r="A833" s="1"/>
      <c r="B833" s="1"/>
      <c r="C833" s="1"/>
      <c r="D833" s="1"/>
      <c r="E833" s="1"/>
      <c r="F833" s="1"/>
      <c r="G833" s="1"/>
      <c r="H833" s="1"/>
      <c r="I833" s="1"/>
      <c r="J833" s="1"/>
      <c r="K833" s="1"/>
      <c r="L833" s="1"/>
      <c r="M833" s="1"/>
      <c r="N833" s="1"/>
      <c r="O833" s="1"/>
      <c r="P833" s="1"/>
      <c r="Q833" s="1"/>
      <c r="R833" s="1"/>
      <c r="S833" s="1"/>
      <c r="T833" s="1"/>
    </row>
    <row r="834" spans="1:20" ht="13.5">
      <c r="A834" s="1"/>
      <c r="B834" s="1"/>
      <c r="C834" s="1"/>
      <c r="D834" s="1"/>
      <c r="E834" s="1"/>
      <c r="F834" s="1"/>
      <c r="G834" s="1"/>
      <c r="H834" s="1"/>
      <c r="I834" s="1"/>
      <c r="J834" s="1"/>
      <c r="K834" s="1"/>
      <c r="L834" s="1"/>
      <c r="M834" s="1"/>
      <c r="N834" s="1"/>
      <c r="O834" s="1"/>
      <c r="P834" s="1"/>
      <c r="Q834" s="1"/>
      <c r="R834" s="1"/>
      <c r="S834" s="1"/>
      <c r="T834" s="1"/>
    </row>
    <row r="835" spans="1:20" ht="13.5">
      <c r="A835" s="1"/>
      <c r="B835" s="1"/>
      <c r="C835" s="1"/>
      <c r="D835" s="1"/>
      <c r="E835" s="1"/>
      <c r="F835" s="1"/>
      <c r="G835" s="1"/>
      <c r="H835" s="1"/>
      <c r="I835" s="1"/>
      <c r="J835" s="1"/>
      <c r="K835" s="1"/>
      <c r="L835" s="1"/>
      <c r="M835" s="1"/>
      <c r="N835" s="1"/>
      <c r="O835" s="1"/>
      <c r="P835" s="1"/>
      <c r="Q835" s="1"/>
      <c r="R835" s="1"/>
      <c r="S835" s="1"/>
      <c r="T835" s="1"/>
    </row>
    <row r="836" spans="1:20" ht="13.5">
      <c r="A836" s="1"/>
      <c r="B836" s="1"/>
      <c r="C836" s="1"/>
      <c r="D836" s="1"/>
      <c r="E836" s="1"/>
      <c r="F836" s="1"/>
      <c r="G836" s="1"/>
      <c r="H836" s="1"/>
      <c r="I836" s="1"/>
      <c r="J836" s="1"/>
      <c r="K836" s="1"/>
      <c r="L836" s="1"/>
      <c r="M836" s="1"/>
      <c r="N836" s="1"/>
      <c r="O836" s="1"/>
      <c r="P836" s="1"/>
      <c r="Q836" s="1"/>
      <c r="R836" s="1"/>
      <c r="S836" s="1"/>
      <c r="T836" s="1"/>
    </row>
    <row r="837" spans="1:20" ht="13.5">
      <c r="A837" s="1"/>
      <c r="B837" s="1"/>
      <c r="C837" s="1"/>
      <c r="D837" s="1"/>
      <c r="E837" s="1"/>
      <c r="F837" s="1"/>
      <c r="G837" s="1"/>
      <c r="H837" s="1"/>
      <c r="I837" s="1"/>
      <c r="J837" s="1"/>
      <c r="K837" s="1"/>
      <c r="L837" s="1"/>
      <c r="M837" s="1"/>
      <c r="N837" s="1"/>
      <c r="O837" s="1"/>
      <c r="P837" s="1"/>
      <c r="Q837" s="1"/>
      <c r="R837" s="1"/>
      <c r="S837" s="1"/>
      <c r="T837" s="1"/>
    </row>
    <row r="838" spans="1:20" ht="13.5">
      <c r="A838" s="1"/>
      <c r="B838" s="1"/>
      <c r="C838" s="1"/>
      <c r="D838" s="1"/>
      <c r="E838" s="1"/>
      <c r="F838" s="1"/>
      <c r="G838" s="1"/>
      <c r="H838" s="1"/>
      <c r="I838" s="1"/>
      <c r="J838" s="1"/>
      <c r="K838" s="1"/>
      <c r="L838" s="1"/>
      <c r="M838" s="1"/>
      <c r="N838" s="1"/>
      <c r="O838" s="1"/>
      <c r="P838" s="1"/>
      <c r="Q838" s="1"/>
      <c r="R838" s="1"/>
      <c r="S838" s="1"/>
      <c r="T838" s="1"/>
    </row>
    <row r="839" spans="1:20" ht="13.5">
      <c r="A839" s="1"/>
      <c r="B839" s="1"/>
      <c r="C839" s="1"/>
      <c r="D839" s="1"/>
      <c r="E839" s="1"/>
      <c r="F839" s="1"/>
      <c r="G839" s="1"/>
      <c r="H839" s="1"/>
      <c r="I839" s="1"/>
      <c r="J839" s="1"/>
      <c r="K839" s="1"/>
      <c r="L839" s="1"/>
      <c r="M839" s="1"/>
      <c r="N839" s="1"/>
      <c r="O839" s="1"/>
      <c r="P839" s="1"/>
      <c r="Q839" s="1"/>
      <c r="R839" s="1"/>
      <c r="S839" s="1"/>
      <c r="T839" s="1"/>
    </row>
    <row r="840" spans="1:20" ht="13.5">
      <c r="A840" s="1"/>
      <c r="B840" s="1"/>
      <c r="C840" s="1"/>
      <c r="D840" s="1"/>
      <c r="E840" s="1"/>
      <c r="F840" s="1"/>
      <c r="G840" s="1"/>
      <c r="H840" s="1"/>
      <c r="I840" s="1"/>
      <c r="J840" s="1"/>
      <c r="K840" s="1"/>
      <c r="L840" s="1"/>
      <c r="M840" s="1"/>
      <c r="N840" s="1"/>
      <c r="O840" s="1"/>
      <c r="P840" s="1"/>
      <c r="Q840" s="1"/>
      <c r="R840" s="1"/>
      <c r="S840" s="1"/>
      <c r="T840" s="1"/>
    </row>
    <row r="841" spans="1:20" ht="13.5">
      <c r="A841" s="1"/>
      <c r="B841" s="1"/>
      <c r="C841" s="1"/>
      <c r="D841" s="1"/>
      <c r="E841" s="1"/>
      <c r="F841" s="1"/>
      <c r="G841" s="1"/>
      <c r="H841" s="1"/>
      <c r="I841" s="1"/>
      <c r="J841" s="1"/>
      <c r="K841" s="1"/>
      <c r="L841" s="1"/>
      <c r="M841" s="1"/>
      <c r="N841" s="1"/>
      <c r="O841" s="1"/>
      <c r="P841" s="1"/>
      <c r="Q841" s="1"/>
      <c r="R841" s="1"/>
      <c r="S841" s="1"/>
      <c r="T841" s="1"/>
    </row>
    <row r="842" spans="1:20" ht="13.5">
      <c r="A842" s="1"/>
      <c r="B842" s="1"/>
      <c r="C842" s="1"/>
      <c r="D842" s="1"/>
      <c r="E842" s="1"/>
      <c r="F842" s="1"/>
      <c r="G842" s="1"/>
      <c r="H842" s="1"/>
      <c r="I842" s="1"/>
      <c r="J842" s="1"/>
      <c r="K842" s="1"/>
      <c r="L842" s="1"/>
      <c r="M842" s="1"/>
      <c r="N842" s="1"/>
      <c r="O842" s="1"/>
      <c r="P842" s="1"/>
      <c r="Q842" s="1"/>
      <c r="R842" s="1"/>
      <c r="S842" s="1"/>
      <c r="T842" s="1"/>
    </row>
    <row r="843" spans="1:20" ht="13.5">
      <c r="A843" s="1"/>
      <c r="B843" s="1"/>
      <c r="C843" s="1"/>
      <c r="D843" s="1"/>
      <c r="E843" s="1"/>
      <c r="F843" s="1"/>
      <c r="G843" s="1"/>
      <c r="H843" s="1"/>
      <c r="I843" s="1"/>
      <c r="J843" s="1"/>
      <c r="K843" s="1"/>
      <c r="L843" s="1"/>
      <c r="M843" s="1"/>
      <c r="N843" s="1"/>
      <c r="O843" s="1"/>
      <c r="P843" s="1"/>
      <c r="Q843" s="1"/>
      <c r="R843" s="1"/>
      <c r="S843" s="1"/>
      <c r="T843" s="1"/>
    </row>
    <row r="844" spans="1:20" ht="13.5">
      <c r="A844" s="1"/>
      <c r="B844" s="1"/>
      <c r="C844" s="1"/>
      <c r="D844" s="1"/>
      <c r="E844" s="1"/>
      <c r="F844" s="1"/>
      <c r="G844" s="1"/>
      <c r="H844" s="1"/>
      <c r="I844" s="1"/>
      <c r="J844" s="1"/>
      <c r="K844" s="1"/>
      <c r="L844" s="1"/>
      <c r="M844" s="1"/>
      <c r="N844" s="1"/>
      <c r="O844" s="1"/>
      <c r="P844" s="1"/>
      <c r="Q844" s="1"/>
      <c r="R844" s="1"/>
      <c r="S844" s="1"/>
      <c r="T844" s="1"/>
    </row>
    <row r="845" spans="1:20" ht="13.5">
      <c r="A845" s="1"/>
      <c r="B845" s="1"/>
      <c r="C845" s="1"/>
      <c r="D845" s="1"/>
      <c r="E845" s="1"/>
      <c r="F845" s="1"/>
      <c r="G845" s="1"/>
      <c r="H845" s="1"/>
      <c r="I845" s="1"/>
      <c r="J845" s="1"/>
      <c r="K845" s="1"/>
      <c r="L845" s="1"/>
      <c r="M845" s="1"/>
      <c r="N845" s="1"/>
      <c r="O845" s="1"/>
      <c r="P845" s="1"/>
      <c r="Q845" s="1"/>
      <c r="R845" s="1"/>
      <c r="S845" s="1"/>
      <c r="T845" s="1"/>
    </row>
    <row r="846" spans="1:20" ht="13.5">
      <c r="A846" s="1"/>
      <c r="B846" s="1"/>
      <c r="C846" s="1"/>
      <c r="D846" s="1"/>
      <c r="E846" s="1"/>
      <c r="F846" s="1"/>
      <c r="G846" s="1"/>
      <c r="H846" s="1"/>
      <c r="I846" s="1"/>
      <c r="J846" s="1"/>
      <c r="K846" s="1"/>
      <c r="L846" s="1"/>
      <c r="M846" s="1"/>
      <c r="N846" s="1"/>
      <c r="O846" s="1"/>
      <c r="P846" s="1"/>
      <c r="Q846" s="1"/>
      <c r="R846" s="1"/>
      <c r="S846" s="1"/>
      <c r="T846" s="1"/>
    </row>
    <row r="847" spans="1:20" ht="13.5">
      <c r="A847" s="1"/>
      <c r="B847" s="1"/>
      <c r="C847" s="1"/>
      <c r="D847" s="1"/>
      <c r="E847" s="1"/>
      <c r="F847" s="1"/>
      <c r="G847" s="1"/>
      <c r="H847" s="1"/>
      <c r="I847" s="1"/>
      <c r="J847" s="1"/>
      <c r="K847" s="1"/>
      <c r="L847" s="1"/>
      <c r="M847" s="1"/>
      <c r="N847" s="1"/>
      <c r="O847" s="1"/>
      <c r="P847" s="1"/>
      <c r="Q847" s="1"/>
      <c r="R847" s="1"/>
      <c r="S847" s="1"/>
      <c r="T847" s="1"/>
    </row>
    <row r="848" spans="1:20" ht="13.5">
      <c r="A848" s="1"/>
      <c r="B848" s="1"/>
      <c r="C848" s="1"/>
      <c r="D848" s="1"/>
      <c r="E848" s="1"/>
      <c r="F848" s="1"/>
      <c r="G848" s="1"/>
      <c r="H848" s="1"/>
      <c r="I848" s="1"/>
      <c r="J848" s="1"/>
      <c r="K848" s="1"/>
      <c r="L848" s="1"/>
      <c r="M848" s="1"/>
      <c r="N848" s="1"/>
      <c r="O848" s="1"/>
      <c r="P848" s="1"/>
      <c r="Q848" s="1"/>
      <c r="R848" s="1"/>
      <c r="S848" s="1"/>
      <c r="T848" s="1"/>
    </row>
    <row r="849" spans="1:20" ht="13.5">
      <c r="A849" s="1"/>
      <c r="B849" s="1"/>
      <c r="C849" s="1"/>
      <c r="D849" s="1"/>
      <c r="E849" s="1"/>
      <c r="F849" s="1"/>
      <c r="G849" s="1"/>
      <c r="H849" s="1"/>
      <c r="I849" s="1"/>
      <c r="J849" s="1"/>
      <c r="K849" s="1"/>
      <c r="L849" s="1"/>
      <c r="M849" s="1"/>
      <c r="N849" s="1"/>
      <c r="O849" s="1"/>
      <c r="P849" s="1"/>
      <c r="Q849" s="1"/>
      <c r="R849" s="1"/>
      <c r="S849" s="1"/>
      <c r="T849" s="1"/>
    </row>
    <row r="850" spans="1:20" ht="13.5">
      <c r="A850" s="1"/>
      <c r="B850" s="1"/>
      <c r="C850" s="1"/>
      <c r="D850" s="1"/>
      <c r="E850" s="1"/>
      <c r="F850" s="1"/>
      <c r="G850" s="1"/>
      <c r="H850" s="1"/>
      <c r="I850" s="1"/>
      <c r="J850" s="1"/>
      <c r="K850" s="1"/>
      <c r="L850" s="1"/>
      <c r="M850" s="1"/>
      <c r="N850" s="1"/>
      <c r="O850" s="1"/>
      <c r="P850" s="1"/>
      <c r="Q850" s="1"/>
      <c r="R850" s="1"/>
      <c r="S850" s="1"/>
      <c r="T850" s="1"/>
    </row>
    <row r="851" spans="1:20" ht="13.5">
      <c r="A851" s="1"/>
      <c r="B851" s="1"/>
      <c r="C851" s="1"/>
      <c r="D851" s="1"/>
      <c r="E851" s="1"/>
      <c r="F851" s="1"/>
      <c r="G851" s="1"/>
      <c r="H851" s="1"/>
      <c r="I851" s="1"/>
      <c r="J851" s="1"/>
      <c r="K851" s="1"/>
      <c r="L851" s="1"/>
      <c r="M851" s="1"/>
      <c r="N851" s="1"/>
      <c r="O851" s="1"/>
      <c r="P851" s="1"/>
      <c r="Q851" s="1"/>
      <c r="R851" s="1"/>
      <c r="S851" s="1"/>
      <c r="T851" s="1"/>
    </row>
    <row r="852" spans="1:20" ht="13.5">
      <c r="A852" s="1"/>
      <c r="B852" s="1"/>
      <c r="C852" s="1"/>
      <c r="D852" s="1"/>
      <c r="E852" s="1"/>
      <c r="F852" s="1"/>
      <c r="G852" s="1"/>
      <c r="H852" s="1"/>
      <c r="I852" s="1"/>
      <c r="J852" s="1"/>
      <c r="K852" s="1"/>
      <c r="L852" s="1"/>
      <c r="M852" s="1"/>
      <c r="N852" s="1"/>
      <c r="O852" s="1"/>
      <c r="P852" s="1"/>
      <c r="Q852" s="1"/>
      <c r="R852" s="1"/>
      <c r="S852" s="1"/>
      <c r="T852" s="1"/>
    </row>
    <row r="853" spans="1:20" ht="13.5">
      <c r="A853" s="1"/>
      <c r="B853" s="1"/>
      <c r="C853" s="1"/>
      <c r="D853" s="1"/>
      <c r="E853" s="1"/>
      <c r="F853" s="1"/>
      <c r="G853" s="1"/>
      <c r="H853" s="1"/>
      <c r="I853" s="1"/>
      <c r="J853" s="1"/>
      <c r="K853" s="1"/>
      <c r="L853" s="1"/>
      <c r="M853" s="1"/>
      <c r="N853" s="1"/>
      <c r="O853" s="1"/>
      <c r="P853" s="1"/>
      <c r="Q853" s="1"/>
      <c r="R853" s="1"/>
      <c r="S853" s="1"/>
      <c r="T853" s="1"/>
    </row>
    <row r="854" spans="1:20" ht="13.5">
      <c r="A854" s="1"/>
      <c r="B854" s="1"/>
      <c r="C854" s="1"/>
      <c r="D854" s="1"/>
      <c r="E854" s="1"/>
      <c r="F854" s="1"/>
      <c r="G854" s="1"/>
      <c r="H854" s="1"/>
      <c r="I854" s="1"/>
      <c r="J854" s="1"/>
      <c r="K854" s="1"/>
      <c r="L854" s="1"/>
      <c r="M854" s="1"/>
      <c r="N854" s="1"/>
      <c r="O854" s="1"/>
      <c r="P854" s="1"/>
      <c r="Q854" s="1"/>
      <c r="R854" s="1"/>
      <c r="S854" s="1"/>
      <c r="T854" s="1"/>
    </row>
    <row r="855" spans="1:20" ht="13.5">
      <c r="A855" s="1"/>
      <c r="B855" s="1"/>
      <c r="C855" s="1"/>
      <c r="D855" s="1"/>
      <c r="E855" s="1"/>
      <c r="F855" s="1"/>
      <c r="G855" s="1"/>
      <c r="H855" s="1"/>
      <c r="I855" s="1"/>
      <c r="J855" s="1"/>
      <c r="K855" s="1"/>
      <c r="L855" s="1"/>
      <c r="M855" s="1"/>
      <c r="N855" s="1"/>
      <c r="O855" s="1"/>
      <c r="P855" s="1"/>
      <c r="Q855" s="1"/>
      <c r="R855" s="1"/>
      <c r="S855" s="1"/>
      <c r="T855" s="1"/>
    </row>
    <row r="856" spans="1:20" ht="13.5">
      <c r="A856" s="1"/>
      <c r="B856" s="1"/>
      <c r="C856" s="1"/>
      <c r="D856" s="1"/>
      <c r="E856" s="1"/>
      <c r="F856" s="1"/>
      <c r="G856" s="1"/>
      <c r="H856" s="1"/>
      <c r="I856" s="1"/>
      <c r="J856" s="1"/>
      <c r="K856" s="1"/>
      <c r="L856" s="1"/>
      <c r="M856" s="1"/>
      <c r="N856" s="1"/>
      <c r="O856" s="1"/>
      <c r="P856" s="1"/>
      <c r="Q856" s="1"/>
      <c r="R856" s="1"/>
      <c r="S856" s="1"/>
      <c r="T856" s="1"/>
    </row>
    <row r="857" spans="1:20" ht="13.5">
      <c r="A857" s="1"/>
      <c r="B857" s="1"/>
      <c r="C857" s="1"/>
      <c r="D857" s="1"/>
      <c r="E857" s="1"/>
      <c r="F857" s="1"/>
      <c r="G857" s="1"/>
      <c r="H857" s="1"/>
      <c r="I857" s="1"/>
      <c r="J857" s="1"/>
      <c r="K857" s="1"/>
      <c r="L857" s="1"/>
      <c r="M857" s="1"/>
      <c r="N857" s="1"/>
      <c r="O857" s="1"/>
      <c r="P857" s="1"/>
      <c r="Q857" s="1"/>
      <c r="R857" s="1"/>
      <c r="S857" s="1"/>
      <c r="T857" s="1"/>
    </row>
    <row r="858" spans="1:20" ht="13.5">
      <c r="A858" s="1"/>
      <c r="B858" s="1"/>
      <c r="C858" s="1"/>
      <c r="D858" s="1"/>
      <c r="E858" s="1"/>
      <c r="F858" s="1"/>
      <c r="G858" s="1"/>
      <c r="H858" s="1"/>
      <c r="I858" s="1"/>
      <c r="J858" s="1"/>
      <c r="K858" s="1"/>
      <c r="L858" s="1"/>
      <c r="M858" s="1"/>
      <c r="N858" s="1"/>
      <c r="O858" s="1"/>
      <c r="P858" s="1"/>
      <c r="Q858" s="1"/>
      <c r="R858" s="1"/>
      <c r="S858" s="1"/>
      <c r="T858" s="1"/>
    </row>
    <row r="859" spans="1:20" ht="13.5">
      <c r="A859" s="1"/>
      <c r="B859" s="1"/>
      <c r="C859" s="1"/>
      <c r="D859" s="1"/>
      <c r="E859" s="1"/>
      <c r="F859" s="1"/>
      <c r="G859" s="1"/>
      <c r="H859" s="1"/>
      <c r="I859" s="1"/>
      <c r="J859" s="1"/>
      <c r="K859" s="1"/>
      <c r="L859" s="1"/>
      <c r="M859" s="1"/>
      <c r="N859" s="1"/>
      <c r="O859" s="1"/>
      <c r="P859" s="1"/>
      <c r="Q859" s="1"/>
      <c r="R859" s="1"/>
      <c r="S859" s="1"/>
      <c r="T859" s="1"/>
    </row>
    <row r="860" spans="1:20" ht="13.5">
      <c r="A860" s="1"/>
      <c r="B860" s="1"/>
      <c r="C860" s="1"/>
      <c r="D860" s="1"/>
      <c r="E860" s="1"/>
      <c r="F860" s="1"/>
      <c r="G860" s="1"/>
      <c r="H860" s="1"/>
      <c r="I860" s="1"/>
      <c r="J860" s="1"/>
      <c r="K860" s="1"/>
      <c r="L860" s="1"/>
      <c r="M860" s="1"/>
      <c r="N860" s="1"/>
      <c r="O860" s="1"/>
      <c r="P860" s="1"/>
      <c r="Q860" s="1"/>
      <c r="R860" s="1"/>
      <c r="S860" s="1"/>
      <c r="T860" s="1"/>
    </row>
    <row r="861" spans="1:20" ht="13.5">
      <c r="A861" s="1"/>
      <c r="B861" s="1"/>
      <c r="C861" s="1"/>
      <c r="D861" s="1"/>
      <c r="E861" s="1"/>
      <c r="F861" s="1"/>
      <c r="G861" s="1"/>
      <c r="H861" s="1"/>
      <c r="I861" s="1"/>
      <c r="J861" s="1"/>
      <c r="K861" s="1"/>
      <c r="L861" s="1"/>
      <c r="M861" s="1"/>
      <c r="N861" s="1"/>
      <c r="O861" s="1"/>
      <c r="P861" s="1"/>
      <c r="Q861" s="1"/>
      <c r="R861" s="1"/>
      <c r="S861" s="1"/>
      <c r="T861" s="1"/>
    </row>
    <row r="862" spans="1:20" ht="13.5">
      <c r="A862" s="1"/>
      <c r="B862" s="1"/>
      <c r="C862" s="1"/>
      <c r="D862" s="1"/>
      <c r="E862" s="1"/>
      <c r="F862" s="1"/>
      <c r="G862" s="1"/>
      <c r="H862" s="1"/>
      <c r="I862" s="1"/>
      <c r="J862" s="1"/>
      <c r="K862" s="1"/>
      <c r="L862" s="1"/>
      <c r="M862" s="1"/>
      <c r="N862" s="1"/>
      <c r="O862" s="1"/>
      <c r="P862" s="1"/>
      <c r="Q862" s="1"/>
      <c r="R862" s="1"/>
      <c r="S862" s="1"/>
      <c r="T862" s="1"/>
    </row>
    <row r="863" spans="1:20" ht="13.5">
      <c r="A863" s="1"/>
      <c r="B863" s="1"/>
      <c r="C863" s="1"/>
      <c r="D863" s="1"/>
      <c r="E863" s="1"/>
      <c r="F863" s="1"/>
      <c r="G863" s="1"/>
      <c r="H863" s="1"/>
      <c r="I863" s="1"/>
      <c r="J863" s="1"/>
      <c r="K863" s="1"/>
      <c r="L863" s="1"/>
      <c r="M863" s="1"/>
      <c r="N863" s="1"/>
      <c r="O863" s="1"/>
      <c r="P863" s="1"/>
      <c r="Q863" s="1"/>
      <c r="R863" s="1"/>
      <c r="S863" s="1"/>
      <c r="T863" s="1"/>
    </row>
    <row r="864" spans="1:20" ht="13.5">
      <c r="A864" s="1"/>
      <c r="B864" s="1"/>
      <c r="C864" s="1"/>
      <c r="D864" s="1"/>
      <c r="E864" s="1"/>
      <c r="F864" s="1"/>
      <c r="G864" s="1"/>
      <c r="H864" s="1"/>
      <c r="I864" s="1"/>
      <c r="J864" s="1"/>
      <c r="K864" s="1"/>
      <c r="L864" s="1"/>
      <c r="M864" s="1"/>
      <c r="N864" s="1"/>
      <c r="O864" s="1"/>
      <c r="P864" s="1"/>
      <c r="Q864" s="1"/>
      <c r="R864" s="1"/>
      <c r="S864" s="1"/>
      <c r="T864" s="1"/>
    </row>
    <row r="865" spans="1:20" ht="13.5">
      <c r="A865" s="1"/>
      <c r="B865" s="1"/>
      <c r="C865" s="1"/>
      <c r="D865" s="1"/>
      <c r="E865" s="1"/>
      <c r="F865" s="1"/>
      <c r="G865" s="1"/>
      <c r="H865" s="1"/>
      <c r="I865" s="1"/>
      <c r="J865" s="1"/>
      <c r="K865" s="1"/>
      <c r="L865" s="1"/>
      <c r="M865" s="1"/>
      <c r="N865" s="1"/>
      <c r="O865" s="1"/>
      <c r="P865" s="1"/>
      <c r="Q865" s="1"/>
      <c r="R865" s="1"/>
      <c r="S865" s="1"/>
      <c r="T865" s="1"/>
    </row>
    <row r="866" spans="1:20" ht="13.5">
      <c r="A866" s="1"/>
      <c r="B866" s="1"/>
      <c r="C866" s="1"/>
      <c r="D866" s="1"/>
      <c r="E866" s="1"/>
      <c r="F866" s="1"/>
      <c r="G866" s="1"/>
      <c r="H866" s="1"/>
      <c r="I866" s="1"/>
      <c r="J866" s="1"/>
      <c r="K866" s="1"/>
      <c r="L866" s="1"/>
      <c r="M866" s="1"/>
      <c r="N866" s="1"/>
      <c r="O866" s="1"/>
      <c r="P866" s="1"/>
      <c r="Q866" s="1"/>
      <c r="R866" s="1"/>
      <c r="S866" s="1"/>
      <c r="T866" s="1"/>
    </row>
    <row r="867" spans="1:20" ht="13.5">
      <c r="A867" s="1"/>
      <c r="B867" s="1"/>
      <c r="C867" s="1"/>
      <c r="D867" s="1"/>
      <c r="E867" s="1"/>
      <c r="F867" s="1"/>
      <c r="G867" s="1"/>
      <c r="H867" s="1"/>
      <c r="I867" s="1"/>
      <c r="J867" s="1"/>
      <c r="K867" s="1"/>
      <c r="L867" s="1"/>
      <c r="M867" s="1"/>
      <c r="N867" s="1"/>
      <c r="O867" s="1"/>
      <c r="P867" s="1"/>
      <c r="Q867" s="1"/>
      <c r="R867" s="1"/>
      <c r="S867" s="1"/>
      <c r="T867" s="1"/>
    </row>
    <row r="868" spans="1:20" ht="13.5">
      <c r="A868" s="1"/>
      <c r="B868" s="1"/>
      <c r="C868" s="1"/>
      <c r="D868" s="1"/>
      <c r="E868" s="1"/>
      <c r="F868" s="1"/>
      <c r="G868" s="1"/>
      <c r="H868" s="1"/>
      <c r="I868" s="1"/>
      <c r="J868" s="1"/>
      <c r="K868" s="1"/>
      <c r="L868" s="1"/>
      <c r="M868" s="1"/>
      <c r="N868" s="1"/>
      <c r="O868" s="1"/>
      <c r="P868" s="1"/>
      <c r="Q868" s="1"/>
      <c r="R868" s="1"/>
      <c r="S868" s="1"/>
      <c r="T868" s="1"/>
    </row>
    <row r="869" spans="1:20" ht="13.5">
      <c r="A869" s="1"/>
      <c r="B869" s="1"/>
      <c r="C869" s="1"/>
      <c r="D869" s="1"/>
      <c r="E869" s="1"/>
      <c r="F869" s="1"/>
      <c r="G869" s="1"/>
      <c r="H869" s="1"/>
      <c r="I869" s="1"/>
      <c r="J869" s="1"/>
      <c r="K869" s="1"/>
      <c r="L869" s="1"/>
      <c r="M869" s="1"/>
      <c r="N869" s="1"/>
      <c r="O869" s="1"/>
      <c r="P869" s="1"/>
      <c r="Q869" s="1"/>
      <c r="R869" s="1"/>
      <c r="S869" s="1"/>
      <c r="T869" s="1"/>
    </row>
    <row r="870" spans="1:20" ht="13.5">
      <c r="A870" s="1"/>
      <c r="B870" s="1"/>
      <c r="C870" s="1"/>
      <c r="D870" s="1"/>
      <c r="E870" s="1"/>
      <c r="F870" s="1"/>
      <c r="G870" s="1"/>
      <c r="H870" s="1"/>
      <c r="I870" s="1"/>
      <c r="J870" s="1"/>
      <c r="K870" s="1"/>
      <c r="L870" s="1"/>
      <c r="M870" s="1"/>
      <c r="N870" s="1"/>
      <c r="O870" s="1"/>
      <c r="P870" s="1"/>
      <c r="Q870" s="1"/>
      <c r="R870" s="1"/>
      <c r="S870" s="1"/>
      <c r="T870" s="1"/>
    </row>
    <row r="871" spans="1:20" ht="13.5">
      <c r="A871" s="1"/>
      <c r="B871" s="1"/>
      <c r="C871" s="1"/>
      <c r="D871" s="1"/>
      <c r="E871" s="1"/>
      <c r="F871" s="1"/>
      <c r="G871" s="1"/>
      <c r="H871" s="1"/>
      <c r="I871" s="1"/>
      <c r="J871" s="1"/>
      <c r="K871" s="1"/>
      <c r="L871" s="1"/>
      <c r="M871" s="1"/>
      <c r="N871" s="1"/>
      <c r="O871" s="1"/>
      <c r="P871" s="1"/>
      <c r="Q871" s="1"/>
      <c r="R871" s="1"/>
      <c r="S871" s="1"/>
      <c r="T871" s="1"/>
    </row>
    <row r="872" spans="1:20" ht="13.5">
      <c r="A872" s="1"/>
      <c r="B872" s="1"/>
      <c r="C872" s="1"/>
      <c r="D872" s="1"/>
      <c r="E872" s="1"/>
      <c r="F872" s="1"/>
      <c r="G872" s="1"/>
      <c r="H872" s="1"/>
      <c r="I872" s="1"/>
      <c r="J872" s="1"/>
      <c r="K872" s="1"/>
      <c r="L872" s="1"/>
      <c r="M872" s="1"/>
      <c r="N872" s="1"/>
      <c r="O872" s="1"/>
      <c r="P872" s="1"/>
      <c r="Q872" s="1"/>
      <c r="R872" s="1"/>
      <c r="S872" s="1"/>
      <c r="T872" s="1"/>
    </row>
    <row r="873" spans="1:20" ht="13.5">
      <c r="A873" s="1"/>
      <c r="B873" s="1"/>
      <c r="C873" s="1"/>
      <c r="D873" s="1"/>
      <c r="E873" s="1"/>
      <c r="F873" s="1"/>
      <c r="G873" s="1"/>
      <c r="H873" s="1"/>
      <c r="I873" s="1"/>
      <c r="J873" s="1"/>
      <c r="K873" s="1"/>
      <c r="L873" s="1"/>
      <c r="M873" s="1"/>
      <c r="N873" s="1"/>
      <c r="O873" s="1"/>
      <c r="P873" s="1"/>
      <c r="Q873" s="1"/>
      <c r="R873" s="1"/>
      <c r="S873" s="1"/>
      <c r="T873" s="1"/>
    </row>
    <row r="874" spans="1:20" ht="13.5">
      <c r="A874" s="1"/>
      <c r="B874" s="1"/>
      <c r="C874" s="1"/>
      <c r="D874" s="1"/>
      <c r="E874" s="1"/>
      <c r="F874" s="1"/>
      <c r="G874" s="1"/>
      <c r="H874" s="1"/>
      <c r="I874" s="1"/>
      <c r="J874" s="1"/>
      <c r="K874" s="1"/>
      <c r="L874" s="1"/>
      <c r="M874" s="1"/>
      <c r="N874" s="1"/>
      <c r="O874" s="1"/>
      <c r="P874" s="1"/>
      <c r="Q874" s="1"/>
      <c r="R874" s="1"/>
      <c r="S874" s="1"/>
      <c r="T874" s="1"/>
    </row>
    <row r="875" spans="1:20" ht="13.5">
      <c r="A875" s="1"/>
      <c r="B875" s="1"/>
      <c r="C875" s="1"/>
      <c r="D875" s="1"/>
      <c r="E875" s="1"/>
      <c r="F875" s="1"/>
      <c r="G875" s="1"/>
      <c r="H875" s="1"/>
      <c r="I875" s="1"/>
      <c r="J875" s="1"/>
      <c r="K875" s="1"/>
      <c r="L875" s="1"/>
      <c r="M875" s="1"/>
      <c r="N875" s="1"/>
      <c r="O875" s="1"/>
      <c r="P875" s="1"/>
      <c r="Q875" s="1"/>
      <c r="R875" s="1"/>
      <c r="S875" s="1"/>
      <c r="T875" s="1"/>
    </row>
    <row r="876" spans="1:20" ht="13.5">
      <c r="A876" s="1"/>
      <c r="B876" s="1"/>
      <c r="C876" s="1"/>
      <c r="D876" s="1"/>
      <c r="E876" s="1"/>
      <c r="F876" s="1"/>
      <c r="G876" s="1"/>
      <c r="H876" s="1"/>
      <c r="I876" s="1"/>
      <c r="J876" s="1"/>
      <c r="K876" s="1"/>
      <c r="L876" s="1"/>
      <c r="M876" s="1"/>
      <c r="N876" s="1"/>
      <c r="O876" s="1"/>
      <c r="P876" s="1"/>
      <c r="Q876" s="1"/>
      <c r="R876" s="1"/>
      <c r="S876" s="1"/>
      <c r="T876" s="1"/>
    </row>
    <row r="877" spans="1:20" ht="13.5">
      <c r="A877" s="1"/>
      <c r="B877" s="1"/>
      <c r="C877" s="1"/>
      <c r="D877" s="1"/>
      <c r="E877" s="1"/>
      <c r="F877" s="1"/>
      <c r="G877" s="1"/>
      <c r="H877" s="1"/>
      <c r="I877" s="1"/>
      <c r="J877" s="1"/>
      <c r="K877" s="1"/>
      <c r="L877" s="1"/>
      <c r="M877" s="1"/>
      <c r="N877" s="1"/>
      <c r="O877" s="1"/>
      <c r="P877" s="1"/>
      <c r="Q877" s="1"/>
      <c r="R877" s="1"/>
      <c r="S877" s="1"/>
      <c r="T877" s="1"/>
    </row>
    <row r="878" spans="1:20" ht="13.5">
      <c r="A878" s="1"/>
      <c r="B878" s="1"/>
      <c r="C878" s="1"/>
      <c r="D878" s="1"/>
      <c r="E878" s="1"/>
      <c r="F878" s="1"/>
      <c r="G878" s="1"/>
      <c r="H878" s="1"/>
      <c r="I878" s="1"/>
      <c r="J878" s="1"/>
      <c r="K878" s="1"/>
      <c r="L878" s="1"/>
      <c r="M878" s="1"/>
      <c r="N878" s="1"/>
      <c r="O878" s="1"/>
      <c r="P878" s="1"/>
      <c r="Q878" s="1"/>
      <c r="R878" s="1"/>
      <c r="S878" s="1"/>
      <c r="T878" s="1"/>
    </row>
    <row r="879" spans="1:20" ht="13.5">
      <c r="A879" s="1"/>
      <c r="B879" s="1"/>
      <c r="C879" s="1"/>
      <c r="D879" s="1"/>
      <c r="E879" s="1"/>
      <c r="F879" s="1"/>
      <c r="G879" s="1"/>
      <c r="H879" s="1"/>
      <c r="I879" s="1"/>
      <c r="J879" s="1"/>
      <c r="K879" s="1"/>
      <c r="L879" s="1"/>
      <c r="M879" s="1"/>
      <c r="N879" s="1"/>
      <c r="O879" s="1"/>
      <c r="P879" s="1"/>
      <c r="Q879" s="1"/>
      <c r="R879" s="1"/>
      <c r="S879" s="1"/>
      <c r="T879" s="1"/>
    </row>
    <row r="880" spans="1:20" ht="13.5">
      <c r="A880" s="1"/>
      <c r="B880" s="1"/>
      <c r="C880" s="1"/>
      <c r="D880" s="1"/>
      <c r="E880" s="1"/>
      <c r="F880" s="1"/>
      <c r="G880" s="1"/>
      <c r="H880" s="1"/>
      <c r="I880" s="1"/>
      <c r="J880" s="1"/>
      <c r="K880" s="1"/>
      <c r="L880" s="1"/>
      <c r="M880" s="1"/>
      <c r="N880" s="1"/>
      <c r="O880" s="1"/>
      <c r="P880" s="1"/>
      <c r="Q880" s="1"/>
      <c r="R880" s="1"/>
      <c r="S880" s="1"/>
      <c r="T880" s="1"/>
    </row>
    <row r="881" spans="1:20" ht="13.5">
      <c r="A881" s="1"/>
      <c r="B881" s="1"/>
      <c r="C881" s="1"/>
      <c r="D881" s="1"/>
      <c r="E881" s="1"/>
      <c r="F881" s="1"/>
      <c r="G881" s="1"/>
      <c r="H881" s="1"/>
      <c r="I881" s="1"/>
      <c r="J881" s="1"/>
      <c r="K881" s="1"/>
      <c r="L881" s="1"/>
      <c r="M881" s="1"/>
      <c r="N881" s="1"/>
      <c r="O881" s="1"/>
      <c r="P881" s="1"/>
      <c r="Q881" s="1"/>
      <c r="R881" s="1"/>
      <c r="S881" s="1"/>
      <c r="T881" s="1"/>
    </row>
    <row r="882" spans="1:20" ht="13.5">
      <c r="A882" s="1"/>
      <c r="B882" s="1"/>
      <c r="C882" s="1"/>
      <c r="D882" s="1"/>
      <c r="E882" s="1"/>
      <c r="F882" s="1"/>
      <c r="G882" s="1"/>
      <c r="H882" s="1"/>
      <c r="I882" s="1"/>
      <c r="J882" s="1"/>
      <c r="K882" s="1"/>
      <c r="L882" s="1"/>
      <c r="M882" s="1"/>
      <c r="N882" s="1"/>
      <c r="O882" s="1"/>
      <c r="P882" s="1"/>
      <c r="Q882" s="1"/>
      <c r="R882" s="1"/>
      <c r="S882" s="1"/>
      <c r="T882" s="1"/>
    </row>
    <row r="883" spans="1:20" ht="13.5">
      <c r="A883" s="1"/>
      <c r="B883" s="1"/>
      <c r="C883" s="1"/>
      <c r="D883" s="1"/>
      <c r="E883" s="1"/>
      <c r="F883" s="1"/>
      <c r="G883" s="1"/>
      <c r="H883" s="1"/>
      <c r="I883" s="1"/>
      <c r="J883" s="1"/>
      <c r="K883" s="1"/>
      <c r="L883" s="1"/>
      <c r="M883" s="1"/>
      <c r="N883" s="1"/>
      <c r="O883" s="1"/>
      <c r="P883" s="1"/>
      <c r="Q883" s="1"/>
      <c r="R883" s="1"/>
      <c r="S883" s="1"/>
      <c r="T883" s="1"/>
    </row>
    <row r="884" spans="1:20" ht="13.5">
      <c r="A884" s="1"/>
      <c r="B884" s="1"/>
      <c r="C884" s="1"/>
      <c r="D884" s="1"/>
      <c r="E884" s="1"/>
      <c r="F884" s="1"/>
      <c r="G884" s="1"/>
      <c r="H884" s="1"/>
      <c r="I884" s="1"/>
      <c r="J884" s="1"/>
      <c r="K884" s="1"/>
      <c r="L884" s="1"/>
      <c r="M884" s="1"/>
      <c r="N884" s="1"/>
      <c r="O884" s="1"/>
      <c r="P884" s="1"/>
      <c r="Q884" s="1"/>
      <c r="R884" s="1"/>
      <c r="S884" s="1"/>
      <c r="T884" s="1"/>
    </row>
    <row r="885" spans="1:20" ht="13.5">
      <c r="A885" s="1"/>
      <c r="B885" s="1"/>
      <c r="C885" s="1"/>
      <c r="D885" s="1"/>
      <c r="E885" s="1"/>
      <c r="F885" s="1"/>
      <c r="G885" s="1"/>
      <c r="H885" s="1"/>
      <c r="I885" s="1"/>
      <c r="J885" s="1"/>
      <c r="K885" s="1"/>
      <c r="L885" s="1"/>
      <c r="M885" s="1"/>
      <c r="N885" s="1"/>
      <c r="O885" s="1"/>
      <c r="P885" s="1"/>
      <c r="Q885" s="1"/>
      <c r="R885" s="1"/>
      <c r="S885" s="1"/>
      <c r="T885" s="1"/>
    </row>
    <row r="886" spans="1:20" ht="13.5">
      <c r="A886" s="1"/>
      <c r="B886" s="1"/>
      <c r="C886" s="1"/>
      <c r="D886" s="1"/>
      <c r="E886" s="1"/>
      <c r="F886" s="1"/>
      <c r="G886" s="1"/>
      <c r="H886" s="1"/>
      <c r="I886" s="1"/>
      <c r="J886" s="1"/>
      <c r="K886" s="1"/>
      <c r="L886" s="1"/>
      <c r="M886" s="1"/>
      <c r="N886" s="1"/>
      <c r="O886" s="1"/>
      <c r="P886" s="1"/>
      <c r="Q886" s="1"/>
      <c r="R886" s="1"/>
      <c r="S886" s="1"/>
      <c r="T886" s="1"/>
    </row>
    <row r="887" spans="1:20" ht="13.5">
      <c r="A887" s="1"/>
      <c r="B887" s="1"/>
      <c r="C887" s="1"/>
      <c r="D887" s="1"/>
      <c r="E887" s="1"/>
      <c r="F887" s="1"/>
      <c r="G887" s="1"/>
      <c r="H887" s="1"/>
      <c r="I887" s="1"/>
      <c r="J887" s="1"/>
      <c r="K887" s="1"/>
      <c r="L887" s="1"/>
      <c r="M887" s="1"/>
      <c r="N887" s="1"/>
      <c r="O887" s="1"/>
      <c r="P887" s="1"/>
      <c r="Q887" s="1"/>
      <c r="R887" s="1"/>
      <c r="S887" s="1"/>
      <c r="T887" s="1"/>
    </row>
    <row r="888" spans="1:20" ht="13.5">
      <c r="A888" s="1"/>
      <c r="B888" s="1"/>
      <c r="C888" s="1"/>
      <c r="D888" s="1"/>
      <c r="E888" s="1"/>
      <c r="F888" s="1"/>
      <c r="G888" s="1"/>
      <c r="H888" s="1"/>
      <c r="I888" s="1"/>
      <c r="J888" s="1"/>
      <c r="K888" s="1"/>
      <c r="L888" s="1"/>
      <c r="M888" s="1"/>
      <c r="N888" s="1"/>
      <c r="O888" s="1"/>
      <c r="P888" s="1"/>
      <c r="Q888" s="1"/>
      <c r="R888" s="1"/>
      <c r="S888" s="1"/>
      <c r="T888" s="1"/>
    </row>
    <row r="889" spans="1:20" ht="13.5">
      <c r="A889" s="1"/>
      <c r="B889" s="1"/>
      <c r="C889" s="1"/>
      <c r="D889" s="1"/>
      <c r="E889" s="1"/>
      <c r="F889" s="1"/>
      <c r="G889" s="1"/>
      <c r="H889" s="1"/>
      <c r="I889" s="1"/>
      <c r="J889" s="1"/>
      <c r="K889" s="1"/>
      <c r="L889" s="1"/>
      <c r="M889" s="1"/>
      <c r="N889" s="1"/>
      <c r="O889" s="1"/>
      <c r="P889" s="1"/>
      <c r="Q889" s="1"/>
      <c r="R889" s="1"/>
      <c r="S889" s="1"/>
      <c r="T889" s="1"/>
    </row>
    <row r="890" spans="1:20" ht="13.5">
      <c r="A890" s="1"/>
      <c r="B890" s="1"/>
      <c r="C890" s="1"/>
      <c r="D890" s="1"/>
      <c r="E890" s="1"/>
      <c r="F890" s="1"/>
      <c r="G890" s="1"/>
      <c r="H890" s="1"/>
      <c r="I890" s="1"/>
      <c r="J890" s="1"/>
      <c r="K890" s="1"/>
      <c r="L890" s="1"/>
      <c r="M890" s="1"/>
      <c r="N890" s="1"/>
      <c r="O890" s="1"/>
      <c r="P890" s="1"/>
      <c r="Q890" s="1"/>
      <c r="R890" s="1"/>
      <c r="S890" s="1"/>
      <c r="T890" s="1"/>
    </row>
    <row r="891" spans="1:20" ht="13.5">
      <c r="A891" s="1"/>
      <c r="B891" s="1"/>
      <c r="C891" s="1"/>
      <c r="D891" s="1"/>
      <c r="E891" s="1"/>
      <c r="F891" s="1"/>
      <c r="G891" s="1"/>
      <c r="H891" s="1"/>
      <c r="I891" s="1"/>
      <c r="J891" s="1"/>
      <c r="K891" s="1"/>
      <c r="L891" s="1"/>
      <c r="M891" s="1"/>
      <c r="N891" s="1"/>
      <c r="O891" s="1"/>
      <c r="P891" s="1"/>
      <c r="Q891" s="1"/>
      <c r="R891" s="1"/>
      <c r="S891" s="1"/>
      <c r="T891" s="1"/>
    </row>
    <row r="892" spans="1:20" ht="13.5">
      <c r="A892" s="1"/>
      <c r="B892" s="1"/>
      <c r="C892" s="1"/>
      <c r="D892" s="1"/>
      <c r="E892" s="1"/>
      <c r="F892" s="1"/>
      <c r="G892" s="1"/>
      <c r="H892" s="1"/>
      <c r="I892" s="1"/>
      <c r="J892" s="1"/>
      <c r="K892" s="1"/>
      <c r="L892" s="1"/>
      <c r="M892" s="1"/>
      <c r="N892" s="1"/>
      <c r="O892" s="1"/>
      <c r="P892" s="1"/>
      <c r="Q892" s="1"/>
      <c r="R892" s="1"/>
      <c r="S892" s="1"/>
      <c r="T892" s="1"/>
    </row>
    <row r="893" spans="1:20" ht="13.5">
      <c r="A893" s="1"/>
      <c r="B893" s="1"/>
      <c r="C893" s="1"/>
      <c r="D893" s="1"/>
      <c r="E893" s="1"/>
      <c r="F893" s="1"/>
      <c r="G893" s="1"/>
      <c r="H893" s="1"/>
      <c r="I893" s="1"/>
      <c r="J893" s="1"/>
      <c r="K893" s="1"/>
      <c r="L893" s="1"/>
      <c r="M893" s="1"/>
      <c r="N893" s="1"/>
      <c r="O893" s="1"/>
      <c r="P893" s="1"/>
      <c r="Q893" s="1"/>
      <c r="R893" s="1"/>
      <c r="S893" s="1"/>
      <c r="T893" s="1"/>
    </row>
    <row r="894" spans="1:20" ht="13.5">
      <c r="A894" s="1"/>
      <c r="B894" s="1"/>
      <c r="C894" s="1"/>
      <c r="D894" s="1"/>
      <c r="E894" s="1"/>
      <c r="F894" s="1"/>
      <c r="G894" s="1"/>
      <c r="H894" s="1"/>
      <c r="I894" s="1"/>
      <c r="J894" s="1"/>
      <c r="K894" s="1"/>
      <c r="L894" s="1"/>
      <c r="M894" s="1"/>
      <c r="N894" s="1"/>
      <c r="O894" s="1"/>
      <c r="P894" s="1"/>
      <c r="Q894" s="1"/>
      <c r="R894" s="1"/>
      <c r="S894" s="1"/>
      <c r="T894" s="1"/>
    </row>
    <row r="895" spans="1:20" ht="13.5">
      <c r="A895" s="1"/>
      <c r="B895" s="1"/>
      <c r="C895" s="1"/>
      <c r="D895" s="1"/>
      <c r="E895" s="1"/>
      <c r="F895" s="1"/>
      <c r="G895" s="1"/>
      <c r="H895" s="1"/>
      <c r="I895" s="1"/>
      <c r="J895" s="1"/>
      <c r="K895" s="1"/>
      <c r="L895" s="1"/>
      <c r="M895" s="1"/>
      <c r="N895" s="1"/>
      <c r="O895" s="1"/>
      <c r="P895" s="1"/>
      <c r="Q895" s="1"/>
      <c r="R895" s="1"/>
      <c r="S895" s="1"/>
      <c r="T895" s="1"/>
    </row>
    <row r="896" spans="1:20" ht="13.5">
      <c r="A896" s="1"/>
      <c r="B896" s="1"/>
      <c r="C896" s="1"/>
      <c r="D896" s="1"/>
      <c r="E896" s="1"/>
      <c r="F896" s="1"/>
      <c r="G896" s="1"/>
      <c r="H896" s="1"/>
      <c r="I896" s="1"/>
      <c r="J896" s="1"/>
      <c r="K896" s="1"/>
      <c r="L896" s="1"/>
      <c r="M896" s="1"/>
      <c r="N896" s="1"/>
      <c r="O896" s="1"/>
      <c r="P896" s="1"/>
      <c r="Q896" s="1"/>
      <c r="R896" s="1"/>
      <c r="S896" s="1"/>
      <c r="T896" s="1"/>
    </row>
    <row r="897" spans="1:20" ht="13.5">
      <c r="A897" s="1"/>
      <c r="B897" s="1"/>
      <c r="C897" s="1"/>
      <c r="D897" s="1"/>
      <c r="E897" s="1"/>
      <c r="F897" s="1"/>
      <c r="G897" s="1"/>
      <c r="H897" s="1"/>
      <c r="I897" s="1"/>
      <c r="J897" s="1"/>
      <c r="K897" s="1"/>
      <c r="L897" s="1"/>
      <c r="M897" s="1"/>
      <c r="N897" s="1"/>
      <c r="O897" s="1"/>
      <c r="P897" s="1"/>
      <c r="Q897" s="1"/>
      <c r="R897" s="1"/>
      <c r="S897" s="1"/>
      <c r="T897" s="1"/>
    </row>
    <row r="898" spans="1:20" ht="13.5">
      <c r="A898" s="1"/>
      <c r="B898" s="1"/>
      <c r="C898" s="1"/>
      <c r="D898" s="1"/>
      <c r="E898" s="1"/>
      <c r="F898" s="1"/>
      <c r="G898" s="1"/>
      <c r="H898" s="1"/>
      <c r="I898" s="1"/>
      <c r="J898" s="1"/>
      <c r="K898" s="1"/>
      <c r="L898" s="1"/>
      <c r="M898" s="1"/>
      <c r="N898" s="1"/>
      <c r="O898" s="1"/>
      <c r="P898" s="1"/>
      <c r="Q898" s="1"/>
      <c r="R898" s="1"/>
      <c r="S898" s="1"/>
      <c r="T898" s="1"/>
    </row>
    <row r="899" spans="1:20" ht="13.5">
      <c r="A899" s="1"/>
      <c r="B899" s="1"/>
      <c r="C899" s="1"/>
      <c r="D899" s="1"/>
      <c r="E899" s="1"/>
      <c r="F899" s="1"/>
      <c r="G899" s="1"/>
      <c r="H899" s="1"/>
      <c r="I899" s="1"/>
      <c r="J899" s="1"/>
      <c r="K899" s="1"/>
      <c r="L899" s="1"/>
      <c r="M899" s="1"/>
      <c r="N899" s="1"/>
      <c r="O899" s="1"/>
      <c r="P899" s="1"/>
      <c r="Q899" s="1"/>
      <c r="R899" s="1"/>
      <c r="S899" s="1"/>
      <c r="T899" s="1"/>
    </row>
    <row r="900" spans="1:20" ht="13.5">
      <c r="A900" s="1"/>
      <c r="B900" s="1"/>
      <c r="C900" s="1"/>
      <c r="D900" s="1"/>
      <c r="E900" s="1"/>
      <c r="F900" s="1"/>
      <c r="G900" s="1"/>
      <c r="H900" s="1"/>
      <c r="I900" s="1"/>
      <c r="J900" s="1"/>
      <c r="K900" s="1"/>
      <c r="L900" s="1"/>
      <c r="M900" s="1"/>
      <c r="N900" s="1"/>
      <c r="O900" s="1"/>
      <c r="P900" s="1"/>
      <c r="Q900" s="1"/>
      <c r="R900" s="1"/>
      <c r="S900" s="1"/>
      <c r="T900" s="1"/>
    </row>
    <row r="901" spans="1:20" ht="13.5">
      <c r="A901" s="1"/>
      <c r="B901" s="1"/>
      <c r="C901" s="1"/>
      <c r="D901" s="1"/>
      <c r="E901" s="1"/>
      <c r="F901" s="1"/>
      <c r="G901" s="1"/>
      <c r="H901" s="1"/>
      <c r="I901" s="1"/>
      <c r="J901" s="1"/>
      <c r="K901" s="1"/>
      <c r="L901" s="1"/>
      <c r="M901" s="1"/>
      <c r="N901" s="1"/>
      <c r="O901" s="1"/>
      <c r="P901" s="1"/>
      <c r="Q901" s="1"/>
      <c r="R901" s="1"/>
      <c r="S901" s="1"/>
      <c r="T901" s="1"/>
    </row>
    <row r="902" spans="1:20" ht="13.5">
      <c r="A902" s="1"/>
      <c r="B902" s="1"/>
      <c r="C902" s="1"/>
      <c r="D902" s="1"/>
      <c r="E902" s="1"/>
      <c r="F902" s="1"/>
      <c r="G902" s="1"/>
      <c r="H902" s="1"/>
      <c r="I902" s="1"/>
      <c r="J902" s="1"/>
      <c r="K902" s="1"/>
      <c r="L902" s="1"/>
      <c r="M902" s="1"/>
      <c r="N902" s="1"/>
      <c r="O902" s="1"/>
      <c r="P902" s="1"/>
      <c r="Q902" s="1"/>
      <c r="R902" s="1"/>
      <c r="S902" s="1"/>
      <c r="T902" s="1"/>
    </row>
    <row r="903" spans="1:20" ht="13.5">
      <c r="A903" s="1"/>
      <c r="B903" s="1"/>
      <c r="C903" s="1"/>
      <c r="D903" s="1"/>
      <c r="E903" s="1"/>
      <c r="F903" s="1"/>
      <c r="G903" s="1"/>
      <c r="H903" s="1"/>
      <c r="I903" s="1"/>
      <c r="J903" s="1"/>
      <c r="K903" s="1"/>
      <c r="L903" s="1"/>
      <c r="M903" s="1"/>
      <c r="N903" s="1"/>
      <c r="O903" s="1"/>
      <c r="P903" s="1"/>
      <c r="Q903" s="1"/>
      <c r="R903" s="1"/>
      <c r="S903" s="1"/>
      <c r="T903" s="1"/>
    </row>
    <row r="904" spans="1:20" ht="13.5">
      <c r="A904" s="1"/>
      <c r="B904" s="1"/>
      <c r="C904" s="1"/>
      <c r="D904" s="1"/>
      <c r="E904" s="1"/>
      <c r="F904" s="1"/>
      <c r="G904" s="1"/>
      <c r="H904" s="1"/>
      <c r="I904" s="1"/>
      <c r="J904" s="1"/>
      <c r="K904" s="1"/>
      <c r="L904" s="1"/>
      <c r="M904" s="1"/>
      <c r="N904" s="1"/>
      <c r="O904" s="1"/>
      <c r="P904" s="1"/>
      <c r="Q904" s="1"/>
      <c r="R904" s="1"/>
      <c r="S904" s="1"/>
      <c r="T904" s="1"/>
    </row>
    <row r="905" spans="1:20" ht="13.5">
      <c r="A905" s="1"/>
      <c r="B905" s="1"/>
      <c r="C905" s="1"/>
      <c r="D905" s="1"/>
      <c r="E905" s="1"/>
      <c r="F905" s="1"/>
      <c r="G905" s="1"/>
      <c r="H905" s="1"/>
      <c r="I905" s="1"/>
      <c r="J905" s="1"/>
      <c r="K905" s="1"/>
      <c r="L905" s="1"/>
      <c r="M905" s="1"/>
      <c r="N905" s="1"/>
      <c r="O905" s="1"/>
      <c r="P905" s="1"/>
      <c r="Q905" s="1"/>
      <c r="R905" s="1"/>
      <c r="S905" s="1"/>
      <c r="T905" s="1"/>
    </row>
    <row r="906" spans="1:20" ht="13.5">
      <c r="A906" s="1"/>
      <c r="B906" s="1"/>
      <c r="C906" s="1"/>
      <c r="D906" s="1"/>
      <c r="E906" s="1"/>
      <c r="F906" s="1"/>
      <c r="G906" s="1"/>
      <c r="H906" s="1"/>
      <c r="I906" s="1"/>
      <c r="J906" s="1"/>
      <c r="K906" s="1"/>
      <c r="L906" s="1"/>
      <c r="M906" s="1"/>
      <c r="N906" s="1"/>
      <c r="O906" s="1"/>
      <c r="P906" s="1"/>
      <c r="Q906" s="1"/>
      <c r="R906" s="1"/>
      <c r="S906" s="1"/>
      <c r="T906" s="1"/>
    </row>
    <row r="907" spans="1:20" ht="13.5">
      <c r="A907" s="1"/>
      <c r="B907" s="1"/>
      <c r="C907" s="1"/>
      <c r="D907" s="1"/>
      <c r="E907" s="1"/>
      <c r="F907" s="1"/>
      <c r="G907" s="1"/>
      <c r="H907" s="1"/>
      <c r="I907" s="1"/>
      <c r="J907" s="1"/>
      <c r="K907" s="1"/>
      <c r="L907" s="1"/>
      <c r="M907" s="1"/>
      <c r="N907" s="1"/>
      <c r="O907" s="1"/>
      <c r="P907" s="1"/>
      <c r="Q907" s="1"/>
      <c r="R907" s="1"/>
      <c r="S907" s="1"/>
      <c r="T907" s="1"/>
    </row>
    <row r="908" spans="1:20" ht="13.5">
      <c r="A908" s="1"/>
      <c r="B908" s="1"/>
      <c r="C908" s="1"/>
      <c r="D908" s="1"/>
      <c r="E908" s="1"/>
      <c r="F908" s="1"/>
      <c r="G908" s="1"/>
      <c r="H908" s="1"/>
      <c r="I908" s="1"/>
      <c r="J908" s="1"/>
      <c r="K908" s="1"/>
      <c r="L908" s="1"/>
      <c r="M908" s="1"/>
      <c r="N908" s="1"/>
      <c r="O908" s="1"/>
      <c r="P908" s="1"/>
      <c r="Q908" s="1"/>
      <c r="R908" s="1"/>
      <c r="S908" s="1"/>
      <c r="T908" s="1"/>
    </row>
    <row r="909" spans="1:20" ht="13.5">
      <c r="A909" s="1"/>
      <c r="B909" s="1"/>
      <c r="C909" s="1"/>
      <c r="D909" s="1"/>
      <c r="E909" s="1"/>
      <c r="F909" s="1"/>
      <c r="G909" s="1"/>
      <c r="H909" s="1"/>
      <c r="I909" s="1"/>
      <c r="J909" s="1"/>
      <c r="K909" s="1"/>
      <c r="L909" s="1"/>
      <c r="M909" s="1"/>
      <c r="N909" s="1"/>
      <c r="O909" s="1"/>
      <c r="P909" s="1"/>
      <c r="Q909" s="1"/>
      <c r="R909" s="1"/>
      <c r="S909" s="1"/>
      <c r="T909" s="1"/>
    </row>
    <row r="910" spans="1:20" ht="13.5">
      <c r="A910" s="1"/>
      <c r="B910" s="1"/>
      <c r="C910" s="1"/>
      <c r="D910" s="1"/>
      <c r="E910" s="1"/>
      <c r="F910" s="1"/>
      <c r="G910" s="1"/>
      <c r="H910" s="1"/>
      <c r="I910" s="1"/>
      <c r="J910" s="1"/>
      <c r="K910" s="1"/>
      <c r="L910" s="1"/>
      <c r="M910" s="1"/>
      <c r="N910" s="1"/>
      <c r="O910" s="1"/>
      <c r="P910" s="1"/>
      <c r="Q910" s="1"/>
      <c r="R910" s="1"/>
      <c r="S910" s="1"/>
      <c r="T910" s="1"/>
    </row>
    <row r="911" spans="1:20" ht="13.5">
      <c r="A911" s="1"/>
      <c r="B911" s="1"/>
      <c r="C911" s="1"/>
      <c r="D911" s="1"/>
      <c r="E911" s="1"/>
      <c r="F911" s="1"/>
      <c r="G911" s="1"/>
      <c r="H911" s="1"/>
      <c r="I911" s="1"/>
      <c r="J911" s="1"/>
      <c r="K911" s="1"/>
      <c r="L911" s="1"/>
      <c r="M911" s="1"/>
      <c r="N911" s="1"/>
      <c r="O911" s="1"/>
      <c r="P911" s="1"/>
      <c r="Q911" s="1"/>
      <c r="R911" s="1"/>
      <c r="S911" s="1"/>
      <c r="T911" s="1"/>
    </row>
    <row r="912" spans="1:20" ht="13.5">
      <c r="A912" s="1"/>
      <c r="B912" s="1"/>
      <c r="C912" s="1"/>
      <c r="D912" s="1"/>
      <c r="E912" s="1"/>
      <c r="F912" s="1"/>
      <c r="G912" s="1"/>
      <c r="H912" s="1"/>
      <c r="I912" s="1"/>
      <c r="J912" s="1"/>
      <c r="K912" s="1"/>
      <c r="L912" s="1"/>
      <c r="M912" s="1"/>
      <c r="N912" s="1"/>
      <c r="O912" s="1"/>
      <c r="P912" s="1"/>
      <c r="Q912" s="1"/>
      <c r="R912" s="1"/>
      <c r="S912" s="1"/>
      <c r="T912" s="1"/>
    </row>
    <row r="913" spans="1:20" ht="13.5">
      <c r="A913" s="1"/>
      <c r="B913" s="1"/>
      <c r="C913" s="1"/>
      <c r="D913" s="1"/>
      <c r="E913" s="1"/>
      <c r="F913" s="1"/>
      <c r="G913" s="1"/>
      <c r="H913" s="1"/>
      <c r="I913" s="1"/>
      <c r="J913" s="1"/>
      <c r="K913" s="1"/>
      <c r="L913" s="1"/>
      <c r="M913" s="1"/>
      <c r="N913" s="1"/>
      <c r="O913" s="1"/>
      <c r="P913" s="1"/>
      <c r="Q913" s="1"/>
      <c r="R913" s="1"/>
      <c r="S913" s="1"/>
      <c r="T913" s="1"/>
    </row>
    <row r="914" spans="1:20" ht="13.5">
      <c r="A914" s="1"/>
      <c r="B914" s="1"/>
      <c r="C914" s="1"/>
      <c r="D914" s="1"/>
      <c r="E914" s="1"/>
      <c r="F914" s="1"/>
      <c r="G914" s="1"/>
      <c r="H914" s="1"/>
      <c r="I914" s="1"/>
      <c r="J914" s="1"/>
      <c r="K914" s="1"/>
      <c r="L914" s="1"/>
      <c r="M914" s="1"/>
      <c r="N914" s="1"/>
      <c r="O914" s="1"/>
      <c r="P914" s="1"/>
      <c r="Q914" s="1"/>
      <c r="R914" s="1"/>
      <c r="S914" s="1"/>
      <c r="T914" s="1"/>
    </row>
    <row r="915" spans="1:20" ht="13.5">
      <c r="A915" s="1"/>
      <c r="B915" s="1"/>
      <c r="C915" s="1"/>
      <c r="D915" s="1"/>
      <c r="E915" s="1"/>
      <c r="F915" s="1"/>
      <c r="G915" s="1"/>
      <c r="H915" s="1"/>
      <c r="I915" s="1"/>
      <c r="J915" s="1"/>
      <c r="K915" s="1"/>
      <c r="L915" s="1"/>
      <c r="M915" s="1"/>
      <c r="N915" s="1"/>
      <c r="O915" s="1"/>
      <c r="P915" s="1"/>
      <c r="Q915" s="1"/>
      <c r="R915" s="1"/>
      <c r="S915" s="1"/>
      <c r="T915" s="1"/>
    </row>
    <row r="916" spans="1:20" ht="13.5">
      <c r="A916" s="1"/>
      <c r="B916" s="1"/>
      <c r="C916" s="1"/>
      <c r="D916" s="1"/>
      <c r="E916" s="1"/>
      <c r="F916" s="1"/>
      <c r="G916" s="1"/>
      <c r="H916" s="1"/>
      <c r="I916" s="1"/>
      <c r="J916" s="1"/>
      <c r="K916" s="1"/>
      <c r="L916" s="1"/>
      <c r="M916" s="1"/>
      <c r="N916" s="1"/>
      <c r="O916" s="1"/>
      <c r="P916" s="1"/>
      <c r="Q916" s="1"/>
      <c r="R916" s="1"/>
      <c r="S916" s="1"/>
      <c r="T916" s="1"/>
    </row>
    <row r="917" spans="1:20" ht="13.5">
      <c r="A917" s="1"/>
      <c r="B917" s="1"/>
      <c r="C917" s="1"/>
      <c r="D917" s="1"/>
      <c r="E917" s="1"/>
      <c r="F917" s="1"/>
      <c r="G917" s="1"/>
      <c r="H917" s="1"/>
      <c r="I917" s="1"/>
      <c r="J917" s="1"/>
      <c r="K917" s="1"/>
      <c r="L917" s="1"/>
      <c r="M917" s="1"/>
      <c r="N917" s="1"/>
      <c r="O917" s="1"/>
      <c r="P917" s="1"/>
      <c r="Q917" s="1"/>
      <c r="R917" s="1"/>
      <c r="S917" s="1"/>
      <c r="T917" s="1"/>
    </row>
    <row r="918" spans="1:20" ht="13.5">
      <c r="A918" s="1"/>
      <c r="B918" s="1"/>
      <c r="C918" s="1"/>
      <c r="D918" s="1"/>
      <c r="E918" s="1"/>
      <c r="F918" s="1"/>
      <c r="G918" s="1"/>
      <c r="H918" s="1"/>
      <c r="I918" s="1"/>
      <c r="J918" s="1"/>
      <c r="K918" s="1"/>
      <c r="L918" s="1"/>
      <c r="M918" s="1"/>
      <c r="N918" s="1"/>
      <c r="O918" s="1"/>
      <c r="P918" s="1"/>
      <c r="Q918" s="1"/>
      <c r="R918" s="1"/>
      <c r="S918" s="1"/>
      <c r="T918" s="1"/>
    </row>
    <row r="919" spans="1:20" ht="13.5">
      <c r="A919" s="1"/>
      <c r="B919" s="1"/>
      <c r="C919" s="1"/>
      <c r="D919" s="1"/>
      <c r="E919" s="1"/>
      <c r="F919" s="1"/>
      <c r="G919" s="1"/>
      <c r="H919" s="1"/>
      <c r="I919" s="1"/>
      <c r="J919" s="1"/>
      <c r="K919" s="1"/>
      <c r="L919" s="1"/>
      <c r="M919" s="1"/>
      <c r="N919" s="1"/>
      <c r="O919" s="1"/>
      <c r="P919" s="1"/>
      <c r="Q919" s="1"/>
      <c r="R919" s="1"/>
      <c r="S919" s="1"/>
      <c r="T919" s="1"/>
    </row>
    <row r="920" spans="1:20" ht="13.5">
      <c r="A920" s="1"/>
      <c r="B920" s="1"/>
      <c r="C920" s="1"/>
      <c r="D920" s="1"/>
      <c r="E920" s="1"/>
      <c r="F920" s="1"/>
      <c r="G920" s="1"/>
      <c r="H920" s="1"/>
      <c r="I920" s="1"/>
      <c r="J920" s="1"/>
      <c r="K920" s="1"/>
      <c r="L920" s="1"/>
      <c r="M920" s="1"/>
      <c r="N920" s="1"/>
      <c r="O920" s="1"/>
      <c r="P920" s="1"/>
      <c r="Q920" s="1"/>
      <c r="R920" s="1"/>
      <c r="S920" s="1"/>
      <c r="T920" s="1"/>
    </row>
    <row r="921" spans="1:20" ht="13.5">
      <c r="A921" s="1"/>
      <c r="B921" s="1"/>
      <c r="C921" s="1"/>
      <c r="D921" s="1"/>
      <c r="E921" s="1"/>
      <c r="F921" s="1"/>
      <c r="G921" s="1"/>
      <c r="H921" s="1"/>
      <c r="I921" s="1"/>
      <c r="J921" s="1"/>
      <c r="K921" s="1"/>
      <c r="L921" s="1"/>
      <c r="M921" s="1"/>
      <c r="N921" s="1"/>
      <c r="O921" s="1"/>
      <c r="P921" s="1"/>
      <c r="Q921" s="1"/>
      <c r="R921" s="1"/>
      <c r="S921" s="1"/>
      <c r="T921" s="1"/>
    </row>
    <row r="922" spans="1:20" ht="13.5">
      <c r="A922" s="1"/>
      <c r="B922" s="1"/>
      <c r="C922" s="1"/>
      <c r="D922" s="1"/>
      <c r="E922" s="1"/>
      <c r="F922" s="1"/>
      <c r="G922" s="1"/>
      <c r="H922" s="1"/>
      <c r="I922" s="1"/>
      <c r="J922" s="1"/>
      <c r="K922" s="1"/>
      <c r="L922" s="1"/>
      <c r="M922" s="1"/>
      <c r="N922" s="1"/>
      <c r="O922" s="1"/>
      <c r="P922" s="1"/>
      <c r="Q922" s="1"/>
      <c r="R922" s="1"/>
      <c r="S922" s="1"/>
      <c r="T922" s="1"/>
    </row>
    <row r="923" spans="1:20" ht="13.5">
      <c r="A923" s="1"/>
      <c r="B923" s="1"/>
      <c r="C923" s="1"/>
      <c r="D923" s="1"/>
      <c r="E923" s="1"/>
      <c r="F923" s="1"/>
      <c r="G923" s="1"/>
      <c r="H923" s="1"/>
      <c r="I923" s="1"/>
      <c r="J923" s="1"/>
      <c r="K923" s="1"/>
      <c r="L923" s="1"/>
      <c r="M923" s="1"/>
      <c r="N923" s="1"/>
      <c r="O923" s="1"/>
      <c r="P923" s="1"/>
      <c r="Q923" s="1"/>
      <c r="R923" s="1"/>
      <c r="S923" s="1"/>
      <c r="T923" s="1"/>
    </row>
    <row r="924" spans="1:20" ht="13.5">
      <c r="A924" s="1"/>
      <c r="B924" s="1"/>
      <c r="C924" s="1"/>
      <c r="D924" s="1"/>
      <c r="E924" s="1"/>
      <c r="F924" s="1"/>
      <c r="G924" s="1"/>
      <c r="H924" s="1"/>
      <c r="I924" s="1"/>
      <c r="J924" s="1"/>
      <c r="K924" s="1"/>
      <c r="L924" s="1"/>
      <c r="M924" s="1"/>
      <c r="N924" s="1"/>
      <c r="O924" s="1"/>
      <c r="P924" s="1"/>
      <c r="Q924" s="1"/>
      <c r="R924" s="1"/>
      <c r="S924" s="1"/>
      <c r="T924" s="1"/>
    </row>
    <row r="925" spans="1:20" ht="13.5">
      <c r="A925" s="1"/>
      <c r="B925" s="1"/>
      <c r="C925" s="1"/>
      <c r="D925" s="1"/>
      <c r="E925" s="1"/>
      <c r="F925" s="1"/>
      <c r="G925" s="1"/>
      <c r="H925" s="1"/>
      <c r="I925" s="1"/>
      <c r="J925" s="1"/>
      <c r="K925" s="1"/>
      <c r="L925" s="1"/>
      <c r="M925" s="1"/>
      <c r="N925" s="1"/>
      <c r="O925" s="1"/>
      <c r="P925" s="1"/>
      <c r="Q925" s="1"/>
      <c r="R925" s="1"/>
      <c r="S925" s="1"/>
      <c r="T925" s="1"/>
    </row>
    <row r="926" spans="1:20" ht="13.5">
      <c r="A926" s="1"/>
      <c r="B926" s="1"/>
      <c r="C926" s="1"/>
      <c r="D926" s="1"/>
      <c r="E926" s="1"/>
      <c r="F926" s="1"/>
      <c r="G926" s="1"/>
      <c r="H926" s="1"/>
      <c r="I926" s="1"/>
      <c r="J926" s="1"/>
      <c r="K926" s="1"/>
      <c r="L926" s="1"/>
      <c r="M926" s="1"/>
      <c r="N926" s="1"/>
      <c r="O926" s="1"/>
      <c r="P926" s="1"/>
      <c r="Q926" s="1"/>
      <c r="R926" s="1"/>
      <c r="S926" s="1"/>
      <c r="T926" s="1"/>
    </row>
    <row r="927" spans="1:20" ht="13.5">
      <c r="A927" s="1"/>
      <c r="B927" s="1"/>
      <c r="C927" s="1"/>
      <c r="D927" s="1"/>
      <c r="E927" s="1"/>
      <c r="F927" s="1"/>
      <c r="G927" s="1"/>
      <c r="H927" s="1"/>
      <c r="I927" s="1"/>
      <c r="J927" s="1"/>
      <c r="K927" s="1"/>
      <c r="L927" s="1"/>
      <c r="M927" s="1"/>
      <c r="N927" s="1"/>
      <c r="O927" s="1"/>
      <c r="P927" s="1"/>
      <c r="Q927" s="1"/>
      <c r="R927" s="1"/>
      <c r="S927" s="1"/>
      <c r="T927" s="1"/>
    </row>
    <row r="928" spans="1:20" ht="13.5">
      <c r="A928" s="1"/>
      <c r="B928" s="1"/>
      <c r="C928" s="1"/>
      <c r="D928" s="1"/>
      <c r="E928" s="1"/>
      <c r="F928" s="1"/>
      <c r="G928" s="1"/>
      <c r="H928" s="1"/>
      <c r="I928" s="1"/>
      <c r="J928" s="1"/>
      <c r="K928" s="1"/>
      <c r="L928" s="1"/>
      <c r="M928" s="1"/>
      <c r="N928" s="1"/>
      <c r="O928" s="1"/>
      <c r="P928" s="1"/>
      <c r="Q928" s="1"/>
      <c r="R928" s="1"/>
      <c r="S928" s="1"/>
      <c r="T928" s="1"/>
    </row>
    <row r="929" spans="1:20" ht="13.5">
      <c r="A929" s="1"/>
      <c r="B929" s="1"/>
      <c r="C929" s="1"/>
      <c r="D929" s="1"/>
      <c r="E929" s="1"/>
      <c r="F929" s="1"/>
      <c r="G929" s="1"/>
      <c r="H929" s="1"/>
      <c r="I929" s="1"/>
      <c r="J929" s="1"/>
      <c r="K929" s="1"/>
      <c r="L929" s="1"/>
      <c r="M929" s="1"/>
      <c r="N929" s="1"/>
      <c r="O929" s="1"/>
      <c r="P929" s="1"/>
      <c r="Q929" s="1"/>
      <c r="R929" s="1"/>
      <c r="S929" s="1"/>
      <c r="T929" s="1"/>
    </row>
    <row r="930" spans="1:20" ht="13.5">
      <c r="A930" s="1"/>
      <c r="B930" s="1"/>
      <c r="C930" s="1"/>
      <c r="D930" s="1"/>
      <c r="E930" s="1"/>
      <c r="F930" s="1"/>
      <c r="G930" s="1"/>
      <c r="H930" s="1"/>
      <c r="I930" s="1"/>
      <c r="J930" s="1"/>
      <c r="K930" s="1"/>
      <c r="L930" s="1"/>
      <c r="M930" s="1"/>
      <c r="N930" s="1"/>
      <c r="O930" s="1"/>
      <c r="P930" s="1"/>
      <c r="Q930" s="1"/>
      <c r="R930" s="1"/>
      <c r="S930" s="1"/>
      <c r="T930" s="1"/>
    </row>
    <row r="931" spans="1:20" ht="13.5">
      <c r="A931" s="1"/>
      <c r="B931" s="1"/>
      <c r="C931" s="1"/>
      <c r="D931" s="1"/>
      <c r="E931" s="1"/>
      <c r="F931" s="1"/>
      <c r="G931" s="1"/>
      <c r="H931" s="1"/>
      <c r="I931" s="1"/>
      <c r="J931" s="1"/>
      <c r="K931" s="1"/>
      <c r="L931" s="1"/>
      <c r="M931" s="1"/>
      <c r="N931" s="1"/>
      <c r="O931" s="1"/>
      <c r="P931" s="1"/>
      <c r="Q931" s="1"/>
      <c r="R931" s="1"/>
      <c r="S931" s="1"/>
      <c r="T931" s="1"/>
    </row>
    <row r="932" spans="1:20" ht="13.5">
      <c r="A932" s="1"/>
      <c r="B932" s="1"/>
      <c r="C932" s="1"/>
      <c r="D932" s="1"/>
      <c r="E932" s="1"/>
      <c r="F932" s="1"/>
      <c r="G932" s="1"/>
      <c r="H932" s="1"/>
      <c r="I932" s="1"/>
      <c r="J932" s="1"/>
      <c r="K932" s="1"/>
      <c r="L932" s="1"/>
      <c r="M932" s="1"/>
      <c r="N932" s="1"/>
      <c r="O932" s="1"/>
      <c r="P932" s="1"/>
      <c r="Q932" s="1"/>
      <c r="R932" s="1"/>
      <c r="S932" s="1"/>
      <c r="T932" s="1"/>
    </row>
    <row r="933" spans="1:20" ht="13.5">
      <c r="A933" s="1"/>
      <c r="B933" s="1"/>
      <c r="C933" s="1"/>
      <c r="D933" s="1"/>
      <c r="E933" s="1"/>
      <c r="F933" s="1"/>
      <c r="G933" s="1"/>
      <c r="H933" s="1"/>
      <c r="I933" s="1"/>
      <c r="J933" s="1"/>
      <c r="K933" s="1"/>
      <c r="L933" s="1"/>
      <c r="M933" s="1"/>
      <c r="N933" s="1"/>
      <c r="O933" s="1"/>
      <c r="P933" s="1"/>
      <c r="Q933" s="1"/>
      <c r="R933" s="1"/>
      <c r="S933" s="1"/>
      <c r="T933" s="1"/>
    </row>
    <row r="934" spans="1:20" ht="13.5">
      <c r="A934" s="1"/>
      <c r="B934" s="1"/>
      <c r="C934" s="1"/>
      <c r="D934" s="1"/>
      <c r="E934" s="1"/>
      <c r="F934" s="1"/>
      <c r="G934" s="1"/>
      <c r="H934" s="1"/>
      <c r="I934" s="1"/>
      <c r="J934" s="1"/>
      <c r="K934" s="1"/>
      <c r="L934" s="1"/>
      <c r="M934" s="1"/>
      <c r="N934" s="1"/>
      <c r="O934" s="1"/>
      <c r="P934" s="1"/>
      <c r="Q934" s="1"/>
      <c r="R934" s="1"/>
      <c r="S934" s="1"/>
      <c r="T934" s="1"/>
    </row>
    <row r="935" spans="1:20" ht="13.5">
      <c r="A935" s="1"/>
      <c r="B935" s="1"/>
      <c r="C935" s="1"/>
      <c r="D935" s="1"/>
      <c r="E935" s="1"/>
      <c r="F935" s="1"/>
      <c r="G935" s="1"/>
      <c r="H935" s="1"/>
      <c r="I935" s="1"/>
      <c r="J935" s="1"/>
      <c r="K935" s="1"/>
      <c r="L935" s="1"/>
      <c r="M935" s="1"/>
      <c r="N935" s="1"/>
      <c r="O935" s="1"/>
      <c r="P935" s="1"/>
      <c r="Q935" s="1"/>
      <c r="R935" s="1"/>
      <c r="S935" s="1"/>
      <c r="T935" s="1"/>
    </row>
    <row r="936" spans="1:20" ht="13.5">
      <c r="A936" s="1"/>
      <c r="B936" s="1"/>
      <c r="C936" s="1"/>
      <c r="D936" s="1"/>
      <c r="E936" s="1"/>
      <c r="F936" s="1"/>
      <c r="G936" s="1"/>
      <c r="H936" s="1"/>
      <c r="I936" s="1"/>
      <c r="J936" s="1"/>
      <c r="K936" s="1"/>
      <c r="L936" s="1"/>
      <c r="M936" s="1"/>
      <c r="N936" s="1"/>
      <c r="O936" s="1"/>
      <c r="P936" s="1"/>
      <c r="Q936" s="1"/>
      <c r="R936" s="1"/>
      <c r="S936" s="1"/>
      <c r="T936" s="1"/>
    </row>
    <row r="937" spans="1:20" ht="13.5">
      <c r="A937" s="1"/>
      <c r="B937" s="1"/>
      <c r="C937" s="1"/>
      <c r="D937" s="1"/>
      <c r="E937" s="1"/>
      <c r="F937" s="1"/>
      <c r="G937" s="1"/>
      <c r="H937" s="1"/>
      <c r="I937" s="1"/>
      <c r="J937" s="1"/>
      <c r="K937" s="1"/>
      <c r="L937" s="1"/>
      <c r="M937" s="1"/>
      <c r="N937" s="1"/>
      <c r="O937" s="1"/>
      <c r="P937" s="1"/>
      <c r="Q937" s="1"/>
      <c r="R937" s="1"/>
      <c r="S937" s="1"/>
      <c r="T937" s="1"/>
    </row>
    <row r="938" spans="1:20" ht="13.5">
      <c r="A938" s="1"/>
      <c r="B938" s="1"/>
      <c r="C938" s="1"/>
      <c r="D938" s="1"/>
      <c r="E938" s="1"/>
      <c r="F938" s="1"/>
      <c r="G938" s="1"/>
      <c r="H938" s="1"/>
      <c r="I938" s="1"/>
      <c r="J938" s="1"/>
      <c r="K938" s="1"/>
      <c r="L938" s="1"/>
      <c r="M938" s="1"/>
      <c r="N938" s="1"/>
      <c r="O938" s="1"/>
      <c r="P938" s="1"/>
      <c r="Q938" s="1"/>
      <c r="R938" s="1"/>
      <c r="S938" s="1"/>
      <c r="T938" s="1"/>
    </row>
    <row r="939" spans="1:20" ht="13.5">
      <c r="A939" s="1"/>
      <c r="B939" s="1"/>
      <c r="C939" s="1"/>
      <c r="D939" s="1"/>
      <c r="E939" s="1"/>
      <c r="F939" s="1"/>
      <c r="G939" s="1"/>
      <c r="H939" s="1"/>
      <c r="I939" s="1"/>
      <c r="J939" s="1"/>
      <c r="K939" s="1"/>
      <c r="L939" s="1"/>
      <c r="M939" s="1"/>
      <c r="N939" s="1"/>
      <c r="O939" s="1"/>
      <c r="P939" s="1"/>
      <c r="Q939" s="1"/>
      <c r="R939" s="1"/>
      <c r="S939" s="1"/>
      <c r="T939" s="1"/>
    </row>
    <row r="940" spans="1:20" ht="13.5">
      <c r="A940" s="1"/>
      <c r="B940" s="1"/>
      <c r="C940" s="1"/>
      <c r="D940" s="1"/>
      <c r="E940" s="1"/>
      <c r="F940" s="1"/>
      <c r="G940" s="1"/>
      <c r="H940" s="1"/>
      <c r="I940" s="1"/>
      <c r="J940" s="1"/>
      <c r="K940" s="1"/>
      <c r="L940" s="1"/>
      <c r="M940" s="1"/>
      <c r="N940" s="1"/>
      <c r="O940" s="1"/>
      <c r="P940" s="1"/>
      <c r="Q940" s="1"/>
      <c r="R940" s="1"/>
      <c r="S940" s="1"/>
      <c r="T940" s="1"/>
    </row>
    <row r="941" spans="1:20" ht="13.5">
      <c r="A941" s="1"/>
      <c r="B941" s="1"/>
      <c r="C941" s="1"/>
      <c r="D941" s="1"/>
      <c r="E941" s="1"/>
      <c r="F941" s="1"/>
      <c r="G941" s="1"/>
      <c r="H941" s="1"/>
      <c r="I941" s="1"/>
      <c r="J941" s="1"/>
      <c r="K941" s="1"/>
      <c r="L941" s="1"/>
      <c r="M941" s="1"/>
      <c r="N941" s="1"/>
      <c r="O941" s="1"/>
      <c r="P941" s="1"/>
      <c r="Q941" s="1"/>
      <c r="R941" s="1"/>
      <c r="S941" s="1"/>
      <c r="T941" s="1"/>
    </row>
    <row r="942" spans="1:20" ht="13.5">
      <c r="A942" s="1"/>
      <c r="B942" s="1"/>
      <c r="C942" s="1"/>
      <c r="D942" s="1"/>
      <c r="E942" s="1"/>
      <c r="F942" s="1"/>
      <c r="G942" s="1"/>
      <c r="H942" s="1"/>
      <c r="I942" s="1"/>
      <c r="J942" s="1"/>
      <c r="K942" s="1"/>
      <c r="L942" s="1"/>
      <c r="M942" s="1"/>
      <c r="N942" s="1"/>
      <c r="O942" s="1"/>
      <c r="P942" s="1"/>
      <c r="Q942" s="1"/>
      <c r="R942" s="1"/>
      <c r="S942" s="1"/>
      <c r="T942" s="1"/>
    </row>
    <row r="943" spans="1:20" ht="13.5">
      <c r="A943" s="1"/>
      <c r="B943" s="1"/>
      <c r="C943" s="1"/>
      <c r="D943" s="1"/>
      <c r="E943" s="1"/>
      <c r="F943" s="1"/>
      <c r="G943" s="1"/>
      <c r="H943" s="1"/>
      <c r="I943" s="1"/>
      <c r="J943" s="1"/>
      <c r="K943" s="1"/>
      <c r="L943" s="1"/>
      <c r="M943" s="1"/>
      <c r="N943" s="1"/>
      <c r="O943" s="1"/>
      <c r="P943" s="1"/>
      <c r="Q943" s="1"/>
      <c r="R943" s="1"/>
      <c r="S943" s="1"/>
      <c r="T943" s="1"/>
    </row>
    <row r="944" spans="1:20" ht="13.5">
      <c r="A944" s="1"/>
      <c r="B944" s="1"/>
      <c r="C944" s="1"/>
      <c r="D944" s="1"/>
      <c r="E944" s="1"/>
      <c r="F944" s="1"/>
      <c r="G944" s="1"/>
      <c r="H944" s="1"/>
      <c r="I944" s="1"/>
      <c r="J944" s="1"/>
      <c r="K944" s="1"/>
      <c r="L944" s="1"/>
      <c r="M944" s="1"/>
      <c r="N944" s="1"/>
      <c r="O944" s="1"/>
      <c r="P944" s="1"/>
      <c r="Q944" s="1"/>
      <c r="R944" s="1"/>
      <c r="S944" s="1"/>
      <c r="T944" s="1"/>
    </row>
    <row r="945" spans="1:20" ht="13.5">
      <c r="A945" s="1"/>
      <c r="B945" s="1"/>
      <c r="C945" s="1"/>
      <c r="D945" s="1"/>
      <c r="E945" s="1"/>
      <c r="F945" s="1"/>
      <c r="G945" s="1"/>
      <c r="H945" s="1"/>
      <c r="I945" s="1"/>
      <c r="J945" s="1"/>
      <c r="K945" s="1"/>
      <c r="L945" s="1"/>
      <c r="M945" s="1"/>
      <c r="N945" s="1"/>
      <c r="O945" s="1"/>
      <c r="P945" s="1"/>
      <c r="Q945" s="1"/>
      <c r="R945" s="1"/>
      <c r="S945" s="1"/>
      <c r="T945" s="1"/>
    </row>
    <row r="946" spans="1:20" ht="13.5">
      <c r="A946" s="1"/>
      <c r="B946" s="1"/>
      <c r="C946" s="1"/>
      <c r="D946" s="1"/>
      <c r="E946" s="1"/>
      <c r="F946" s="1"/>
      <c r="G946" s="1"/>
      <c r="H946" s="1"/>
      <c r="I946" s="1"/>
      <c r="J946" s="1"/>
      <c r="K946" s="1"/>
      <c r="L946" s="1"/>
      <c r="M946" s="1"/>
      <c r="N946" s="1"/>
      <c r="O946" s="1"/>
      <c r="P946" s="1"/>
      <c r="Q946" s="1"/>
      <c r="R946" s="1"/>
      <c r="S946" s="1"/>
      <c r="T946" s="1"/>
    </row>
    <row r="947" spans="1:20" ht="13.5">
      <c r="A947" s="1"/>
      <c r="B947" s="1"/>
      <c r="C947" s="1"/>
      <c r="D947" s="1"/>
      <c r="E947" s="1"/>
      <c r="F947" s="1"/>
      <c r="G947" s="1"/>
      <c r="H947" s="1"/>
      <c r="I947" s="1"/>
      <c r="J947" s="1"/>
      <c r="K947" s="1"/>
      <c r="L947" s="1"/>
      <c r="M947" s="1"/>
      <c r="N947" s="1"/>
      <c r="O947" s="1"/>
      <c r="P947" s="1"/>
      <c r="Q947" s="1"/>
      <c r="R947" s="1"/>
      <c r="S947" s="1"/>
      <c r="T947" s="1"/>
    </row>
    <row r="948" spans="1:20" ht="13.5">
      <c r="A948" s="1"/>
      <c r="B948" s="1"/>
      <c r="C948" s="1"/>
      <c r="D948" s="1"/>
      <c r="E948" s="1"/>
      <c r="F948" s="1"/>
      <c r="G948" s="1"/>
      <c r="H948" s="1"/>
      <c r="I948" s="1"/>
      <c r="J948" s="1"/>
      <c r="K948" s="1"/>
      <c r="L948" s="1"/>
      <c r="M948" s="1"/>
      <c r="N948" s="1"/>
      <c r="O948" s="1"/>
      <c r="P948" s="1"/>
      <c r="Q948" s="1"/>
      <c r="R948" s="1"/>
      <c r="S948" s="1"/>
      <c r="T948" s="1"/>
    </row>
    <row r="949" spans="1:20" ht="13.5">
      <c r="A949" s="1"/>
      <c r="B949" s="1"/>
      <c r="C949" s="1"/>
      <c r="D949" s="1"/>
      <c r="E949" s="1"/>
      <c r="F949" s="1"/>
      <c r="G949" s="1"/>
      <c r="H949" s="1"/>
      <c r="I949" s="1"/>
      <c r="J949" s="1"/>
      <c r="K949" s="1"/>
      <c r="L949" s="1"/>
      <c r="M949" s="1"/>
      <c r="N949" s="1"/>
      <c r="O949" s="1"/>
      <c r="P949" s="1"/>
      <c r="Q949" s="1"/>
      <c r="R949" s="1"/>
      <c r="S949" s="1"/>
      <c r="T949" s="1"/>
    </row>
    <row r="950" spans="1:20" ht="13.5">
      <c r="A950" s="1"/>
      <c r="B950" s="1"/>
      <c r="C950" s="1"/>
      <c r="D950" s="1"/>
      <c r="E950" s="1"/>
      <c r="F950" s="1"/>
      <c r="G950" s="1"/>
      <c r="H950" s="1"/>
      <c r="I950" s="1"/>
      <c r="J950" s="1"/>
      <c r="K950" s="1"/>
      <c r="L950" s="1"/>
      <c r="M950" s="1"/>
      <c r="N950" s="1"/>
      <c r="O950" s="1"/>
      <c r="P950" s="1"/>
      <c r="Q950" s="1"/>
      <c r="R950" s="1"/>
      <c r="S950" s="1"/>
      <c r="T950" s="1"/>
    </row>
    <row r="951" spans="1:20" ht="13.5">
      <c r="A951" s="1"/>
      <c r="B951" s="1"/>
      <c r="C951" s="1"/>
      <c r="D951" s="1"/>
      <c r="E951" s="1"/>
      <c r="F951" s="1"/>
      <c r="G951" s="1"/>
      <c r="H951" s="1"/>
      <c r="I951" s="1"/>
      <c r="J951" s="1"/>
      <c r="K951" s="1"/>
      <c r="L951" s="1"/>
      <c r="M951" s="1"/>
      <c r="N951" s="1"/>
      <c r="O951" s="1"/>
      <c r="P951" s="1"/>
      <c r="Q951" s="1"/>
      <c r="R951" s="1"/>
      <c r="S951" s="1"/>
      <c r="T951" s="1"/>
    </row>
    <row r="952" spans="1:20" ht="13.5">
      <c r="A952" s="1"/>
      <c r="B952" s="1"/>
      <c r="C952" s="1"/>
      <c r="D952" s="1"/>
      <c r="E952" s="1"/>
      <c r="F952" s="1"/>
      <c r="G952" s="1"/>
      <c r="H952" s="1"/>
      <c r="I952" s="1"/>
      <c r="J952" s="1"/>
      <c r="K952" s="1"/>
      <c r="L952" s="1"/>
      <c r="M952" s="1"/>
      <c r="N952" s="1"/>
      <c r="O952" s="1"/>
      <c r="P952" s="1"/>
      <c r="Q952" s="1"/>
      <c r="R952" s="1"/>
      <c r="S952" s="1"/>
      <c r="T952" s="1"/>
    </row>
    <row r="953" spans="1:20" ht="13.5">
      <c r="A953" s="1"/>
      <c r="B953" s="1"/>
      <c r="C953" s="1"/>
      <c r="D953" s="1"/>
      <c r="E953" s="1"/>
      <c r="F953" s="1"/>
      <c r="G953" s="1"/>
      <c r="H953" s="1"/>
      <c r="I953" s="1"/>
      <c r="J953" s="1"/>
      <c r="K953" s="1"/>
      <c r="L953" s="1"/>
      <c r="M953" s="1"/>
      <c r="N953" s="1"/>
      <c r="O953" s="1"/>
      <c r="P953" s="1"/>
      <c r="Q953" s="1"/>
      <c r="R953" s="1"/>
      <c r="S953" s="1"/>
      <c r="T953" s="1"/>
    </row>
    <row r="954" spans="1:20" ht="13.5">
      <c r="A954" s="1"/>
      <c r="B954" s="1"/>
      <c r="C954" s="1"/>
      <c r="D954" s="1"/>
      <c r="E954" s="1"/>
      <c r="F954" s="1"/>
      <c r="G954" s="1"/>
      <c r="H954" s="1"/>
      <c r="I954" s="1"/>
      <c r="J954" s="1"/>
      <c r="K954" s="1"/>
      <c r="L954" s="1"/>
      <c r="M954" s="1"/>
      <c r="N954" s="1"/>
      <c r="O954" s="1"/>
      <c r="P954" s="1"/>
      <c r="Q954" s="1"/>
      <c r="R954" s="1"/>
      <c r="S954" s="1"/>
      <c r="T954" s="1"/>
    </row>
    <row r="955" spans="1:20" ht="13.5">
      <c r="A955" s="1"/>
      <c r="B955" s="1"/>
      <c r="C955" s="1"/>
      <c r="D955" s="1"/>
      <c r="E955" s="1"/>
      <c r="F955" s="1"/>
      <c r="G955" s="1"/>
      <c r="H955" s="1"/>
      <c r="I955" s="1"/>
      <c r="J955" s="1"/>
      <c r="K955" s="1"/>
      <c r="L955" s="1"/>
      <c r="M955" s="1"/>
      <c r="N955" s="1"/>
      <c r="O955" s="1"/>
      <c r="P955" s="1"/>
      <c r="Q955" s="1"/>
      <c r="R955" s="1"/>
      <c r="S955" s="1"/>
      <c r="T955" s="1"/>
    </row>
    <row r="956" spans="1:20" ht="13.5">
      <c r="A956" s="1"/>
      <c r="B956" s="1"/>
      <c r="C956" s="1"/>
      <c r="D956" s="1"/>
      <c r="E956" s="1"/>
      <c r="F956" s="1"/>
      <c r="G956" s="1"/>
      <c r="H956" s="1"/>
      <c r="I956" s="1"/>
      <c r="J956" s="1"/>
      <c r="K956" s="1"/>
      <c r="L956" s="1"/>
      <c r="M956" s="1"/>
      <c r="N956" s="1"/>
      <c r="O956" s="1"/>
      <c r="P956" s="1"/>
      <c r="Q956" s="1"/>
      <c r="R956" s="1"/>
      <c r="S956" s="1"/>
      <c r="T956" s="1"/>
    </row>
    <row r="957" spans="1:20" ht="13.5">
      <c r="A957" s="1"/>
      <c r="B957" s="1"/>
      <c r="C957" s="1"/>
      <c r="D957" s="1"/>
      <c r="E957" s="1"/>
      <c r="F957" s="1"/>
      <c r="G957" s="1"/>
      <c r="H957" s="1"/>
      <c r="I957" s="1"/>
      <c r="J957" s="1"/>
      <c r="K957" s="1"/>
      <c r="L957" s="1"/>
      <c r="M957" s="1"/>
      <c r="N957" s="1"/>
      <c r="O957" s="1"/>
      <c r="P957" s="1"/>
      <c r="Q957" s="1"/>
      <c r="R957" s="1"/>
      <c r="S957" s="1"/>
      <c r="T957" s="1"/>
    </row>
    <row r="958" spans="1:20" ht="13.5">
      <c r="A958" s="1"/>
      <c r="B958" s="1"/>
      <c r="C958" s="1"/>
      <c r="D958" s="1"/>
      <c r="E958" s="1"/>
      <c r="F958" s="1"/>
      <c r="G958" s="1"/>
      <c r="H958" s="1"/>
      <c r="I958" s="1"/>
      <c r="J958" s="1"/>
      <c r="K958" s="1"/>
      <c r="L958" s="1"/>
      <c r="M958" s="1"/>
      <c r="N958" s="1"/>
      <c r="O958" s="1"/>
      <c r="P958" s="1"/>
      <c r="Q958" s="1"/>
      <c r="R958" s="1"/>
      <c r="S958" s="1"/>
      <c r="T958" s="1"/>
    </row>
    <row r="959" spans="1:20" ht="13.5">
      <c r="A959" s="1"/>
      <c r="B959" s="1"/>
      <c r="C959" s="1"/>
      <c r="D959" s="1"/>
      <c r="E959" s="1"/>
      <c r="F959" s="1"/>
      <c r="G959" s="1"/>
      <c r="H959" s="1"/>
      <c r="I959" s="1"/>
      <c r="J959" s="1"/>
      <c r="K959" s="1"/>
      <c r="L959" s="1"/>
      <c r="M959" s="1"/>
      <c r="N959" s="1"/>
      <c r="O959" s="1"/>
      <c r="P959" s="1"/>
      <c r="Q959" s="1"/>
      <c r="R959" s="1"/>
      <c r="S959" s="1"/>
      <c r="T959" s="1"/>
    </row>
    <row r="960" spans="1:20" ht="13.5">
      <c r="A960" s="1"/>
      <c r="B960" s="1"/>
      <c r="C960" s="1"/>
      <c r="D960" s="1"/>
      <c r="E960" s="1"/>
      <c r="F960" s="1"/>
      <c r="G960" s="1"/>
      <c r="H960" s="1"/>
      <c r="I960" s="1"/>
      <c r="J960" s="1"/>
      <c r="K960" s="1"/>
      <c r="L960" s="1"/>
      <c r="M960" s="1"/>
      <c r="N960" s="1"/>
      <c r="O960" s="1"/>
      <c r="P960" s="1"/>
      <c r="Q960" s="1"/>
      <c r="R960" s="1"/>
      <c r="S960" s="1"/>
      <c r="T960" s="1"/>
    </row>
    <row r="961" spans="1:20" ht="13.5">
      <c r="A961" s="1"/>
      <c r="B961" s="1"/>
      <c r="C961" s="1"/>
      <c r="D961" s="1"/>
      <c r="E961" s="1"/>
      <c r="F961" s="1"/>
      <c r="G961" s="1"/>
      <c r="H961" s="1"/>
      <c r="I961" s="1"/>
      <c r="J961" s="1"/>
      <c r="K961" s="1"/>
      <c r="L961" s="1"/>
      <c r="M961" s="1"/>
      <c r="N961" s="1"/>
      <c r="O961" s="1"/>
      <c r="P961" s="1"/>
      <c r="Q961" s="1"/>
      <c r="R961" s="1"/>
      <c r="S961" s="1"/>
      <c r="T961" s="1"/>
    </row>
    <row r="962" spans="1:20" ht="13.5">
      <c r="A962" s="1"/>
      <c r="B962" s="1"/>
      <c r="C962" s="1"/>
      <c r="D962" s="1"/>
      <c r="E962" s="1"/>
      <c r="F962" s="1"/>
      <c r="G962" s="1"/>
      <c r="H962" s="1"/>
      <c r="I962" s="1"/>
      <c r="J962" s="1"/>
      <c r="K962" s="1"/>
      <c r="L962" s="1"/>
      <c r="M962" s="1"/>
      <c r="N962" s="1"/>
      <c r="O962" s="1"/>
      <c r="P962" s="1"/>
      <c r="Q962" s="1"/>
      <c r="R962" s="1"/>
      <c r="S962" s="1"/>
      <c r="T962" s="1"/>
    </row>
    <row r="963" spans="1:20" ht="13.5">
      <c r="A963" s="1"/>
      <c r="B963" s="1"/>
      <c r="C963" s="1"/>
      <c r="D963" s="1"/>
      <c r="E963" s="1"/>
      <c r="F963" s="1"/>
      <c r="G963" s="1"/>
      <c r="H963" s="1"/>
      <c r="I963" s="1"/>
      <c r="J963" s="1"/>
      <c r="K963" s="1"/>
      <c r="L963" s="1"/>
      <c r="M963" s="1"/>
      <c r="N963" s="1"/>
      <c r="O963" s="1"/>
      <c r="P963" s="1"/>
      <c r="Q963" s="1"/>
      <c r="R963" s="1"/>
      <c r="S963" s="1"/>
      <c r="T963" s="1"/>
    </row>
    <row r="964" spans="1:20" ht="13.5">
      <c r="A964" s="1"/>
      <c r="B964" s="1"/>
      <c r="C964" s="1"/>
      <c r="D964" s="1"/>
      <c r="E964" s="1"/>
      <c r="F964" s="1"/>
      <c r="G964" s="1"/>
      <c r="H964" s="1"/>
      <c r="I964" s="1"/>
      <c r="J964" s="1"/>
      <c r="K964" s="1"/>
      <c r="L964" s="1"/>
      <c r="M964" s="1"/>
      <c r="N964" s="1"/>
      <c r="O964" s="1"/>
      <c r="P964" s="1"/>
      <c r="Q964" s="1"/>
      <c r="R964" s="1"/>
      <c r="S964" s="1"/>
      <c r="T964" s="1"/>
    </row>
    <row r="965" spans="1:20" ht="13.5">
      <c r="A965" s="1"/>
      <c r="B965" s="1"/>
      <c r="C965" s="1"/>
      <c r="D965" s="1"/>
      <c r="E965" s="1"/>
      <c r="F965" s="1"/>
      <c r="G965" s="1"/>
      <c r="H965" s="1"/>
      <c r="I965" s="1"/>
      <c r="J965" s="1"/>
      <c r="K965" s="1"/>
      <c r="L965" s="1"/>
      <c r="M965" s="1"/>
      <c r="N965" s="1"/>
      <c r="O965" s="1"/>
      <c r="P965" s="1"/>
      <c r="Q965" s="1"/>
      <c r="R965" s="1"/>
      <c r="S965" s="1"/>
      <c r="T965" s="1"/>
    </row>
    <row r="966" spans="1:20" ht="13.5">
      <c r="A966" s="1"/>
      <c r="B966" s="1"/>
      <c r="C966" s="1"/>
      <c r="D966" s="1"/>
      <c r="E966" s="1"/>
      <c r="F966" s="1"/>
      <c r="G966" s="1"/>
      <c r="H966" s="1"/>
      <c r="I966" s="1"/>
      <c r="J966" s="1"/>
      <c r="K966" s="1"/>
      <c r="L966" s="1"/>
      <c r="M966" s="1"/>
      <c r="N966" s="1"/>
      <c r="O966" s="1"/>
      <c r="P966" s="1"/>
      <c r="Q966" s="1"/>
      <c r="R966" s="1"/>
      <c r="S966" s="1"/>
      <c r="T966" s="1"/>
    </row>
    <row r="967" spans="1:20" ht="13.5">
      <c r="A967" s="1"/>
      <c r="B967" s="1"/>
      <c r="C967" s="1"/>
      <c r="D967" s="1"/>
      <c r="E967" s="1"/>
      <c r="F967" s="1"/>
      <c r="G967" s="1"/>
      <c r="H967" s="1"/>
      <c r="I967" s="1"/>
      <c r="J967" s="1"/>
      <c r="K967" s="1"/>
      <c r="L967" s="1"/>
      <c r="M967" s="1"/>
      <c r="N967" s="1"/>
      <c r="O967" s="1"/>
      <c r="P967" s="1"/>
      <c r="Q967" s="1"/>
      <c r="R967" s="1"/>
      <c r="S967" s="1"/>
      <c r="T967" s="1"/>
    </row>
    <row r="968" spans="1:20" ht="13.5">
      <c r="A968" s="1"/>
      <c r="B968" s="1"/>
      <c r="C968" s="1"/>
      <c r="D968" s="1"/>
      <c r="E968" s="1"/>
      <c r="F968" s="1"/>
      <c r="G968" s="1"/>
      <c r="H968" s="1"/>
      <c r="I968" s="1"/>
      <c r="J968" s="1"/>
      <c r="K968" s="1"/>
      <c r="L968" s="1"/>
      <c r="M968" s="1"/>
      <c r="N968" s="1"/>
      <c r="O968" s="1"/>
      <c r="P968" s="1"/>
      <c r="Q968" s="1"/>
      <c r="R968" s="1"/>
      <c r="S968" s="1"/>
      <c r="T968" s="1"/>
    </row>
    <row r="969" spans="1:20" ht="13.5">
      <c r="A969" s="1"/>
      <c r="B969" s="1"/>
      <c r="C969" s="1"/>
      <c r="D969" s="1"/>
      <c r="E969" s="1"/>
      <c r="F969" s="1"/>
      <c r="G969" s="1"/>
      <c r="H969" s="1"/>
      <c r="I969" s="1"/>
      <c r="J969" s="1"/>
      <c r="K969" s="1"/>
      <c r="L969" s="1"/>
      <c r="M969" s="1"/>
      <c r="N969" s="1"/>
      <c r="O969" s="1"/>
      <c r="P969" s="1"/>
      <c r="Q969" s="1"/>
      <c r="R969" s="1"/>
      <c r="S969" s="1"/>
      <c r="T969" s="1"/>
    </row>
    <row r="970" spans="1:20" ht="13.5">
      <c r="A970" s="1"/>
      <c r="B970" s="1"/>
      <c r="C970" s="1"/>
      <c r="D970" s="1"/>
      <c r="E970" s="1"/>
      <c r="F970" s="1"/>
      <c r="G970" s="1"/>
      <c r="H970" s="1"/>
      <c r="I970" s="1"/>
      <c r="J970" s="1"/>
      <c r="K970" s="1"/>
      <c r="L970" s="1"/>
      <c r="M970" s="1"/>
      <c r="N970" s="1"/>
      <c r="O970" s="1"/>
      <c r="P970" s="1"/>
      <c r="Q970" s="1"/>
      <c r="R970" s="1"/>
      <c r="S970" s="1"/>
      <c r="T970" s="1"/>
    </row>
    <row r="971" spans="1:20" ht="13.5">
      <c r="A971" s="1"/>
      <c r="B971" s="1"/>
      <c r="C971" s="1"/>
      <c r="D971" s="1"/>
      <c r="E971" s="1"/>
      <c r="F971" s="1"/>
      <c r="G971" s="1"/>
      <c r="H971" s="1"/>
      <c r="I971" s="1"/>
      <c r="J971" s="1"/>
      <c r="K971" s="1"/>
      <c r="L971" s="1"/>
      <c r="M971" s="1"/>
      <c r="N971" s="1"/>
      <c r="O971" s="1"/>
      <c r="P971" s="1"/>
      <c r="Q971" s="1"/>
      <c r="R971" s="1"/>
      <c r="S971" s="1"/>
      <c r="T971" s="1"/>
    </row>
    <row r="972" spans="1:20" ht="13.5">
      <c r="A972" s="1"/>
      <c r="B972" s="1"/>
      <c r="C972" s="1"/>
      <c r="D972" s="1"/>
      <c r="E972" s="1"/>
      <c r="F972" s="1"/>
      <c r="G972" s="1"/>
      <c r="H972" s="1"/>
      <c r="I972" s="1"/>
      <c r="J972" s="1"/>
      <c r="K972" s="1"/>
      <c r="L972" s="1"/>
      <c r="M972" s="1"/>
      <c r="N972" s="1"/>
      <c r="O972" s="1"/>
      <c r="P972" s="1"/>
      <c r="Q972" s="1"/>
      <c r="R972" s="1"/>
      <c r="S972" s="1"/>
      <c r="T972" s="1"/>
    </row>
    <row r="973" spans="1:20" ht="13.5">
      <c r="A973" s="1"/>
      <c r="B973" s="1"/>
      <c r="C973" s="1"/>
      <c r="D973" s="1"/>
      <c r="E973" s="1"/>
      <c r="F973" s="1"/>
      <c r="G973" s="1"/>
      <c r="H973" s="1"/>
      <c r="I973" s="1"/>
      <c r="J973" s="1"/>
      <c r="K973" s="1"/>
      <c r="L973" s="1"/>
      <c r="M973" s="1"/>
      <c r="N973" s="1"/>
      <c r="O973" s="1"/>
      <c r="P973" s="1"/>
      <c r="Q973" s="1"/>
      <c r="R973" s="1"/>
      <c r="S973" s="1"/>
      <c r="T973" s="1"/>
    </row>
    <row r="974" spans="1:20" ht="13.5">
      <c r="A974" s="1"/>
      <c r="B974" s="1"/>
      <c r="C974" s="1"/>
      <c r="D974" s="1"/>
      <c r="E974" s="1"/>
      <c r="F974" s="1"/>
      <c r="G974" s="1"/>
      <c r="H974" s="1"/>
      <c r="I974" s="1"/>
      <c r="J974" s="1"/>
      <c r="K974" s="1"/>
      <c r="L974" s="1"/>
      <c r="M974" s="1"/>
      <c r="N974" s="1"/>
      <c r="O974" s="1"/>
      <c r="P974" s="1"/>
      <c r="Q974" s="1"/>
      <c r="R974" s="1"/>
      <c r="S974" s="1"/>
      <c r="T974" s="1"/>
    </row>
    <row r="975" spans="1:20" ht="13.5">
      <c r="A975" s="1"/>
      <c r="B975" s="1"/>
      <c r="C975" s="1"/>
      <c r="D975" s="1"/>
      <c r="E975" s="1"/>
      <c r="F975" s="1"/>
      <c r="G975" s="1"/>
      <c r="H975" s="1"/>
      <c r="I975" s="1"/>
      <c r="J975" s="1"/>
      <c r="K975" s="1"/>
      <c r="L975" s="1"/>
      <c r="M975" s="1"/>
      <c r="N975" s="1"/>
      <c r="O975" s="1"/>
      <c r="P975" s="1"/>
      <c r="Q975" s="1"/>
      <c r="R975" s="1"/>
      <c r="S975" s="1"/>
      <c r="T975" s="1"/>
    </row>
    <row r="976" spans="1:20" ht="13.5">
      <c r="A976" s="1"/>
      <c r="B976" s="1"/>
      <c r="C976" s="1"/>
      <c r="D976" s="1"/>
      <c r="E976" s="1"/>
      <c r="F976" s="1"/>
      <c r="G976" s="1"/>
      <c r="H976" s="1"/>
      <c r="I976" s="1"/>
      <c r="J976" s="1"/>
      <c r="K976" s="1"/>
      <c r="L976" s="1"/>
      <c r="M976" s="1"/>
      <c r="N976" s="1"/>
      <c r="O976" s="1"/>
      <c r="P976" s="1"/>
      <c r="Q976" s="1"/>
      <c r="R976" s="1"/>
      <c r="S976" s="1"/>
      <c r="T976" s="1"/>
    </row>
    <row r="977" spans="1:20" ht="13.5">
      <c r="A977" s="1"/>
      <c r="B977" s="1"/>
      <c r="C977" s="1"/>
      <c r="D977" s="1"/>
      <c r="E977" s="1"/>
      <c r="F977" s="1"/>
      <c r="G977" s="1"/>
      <c r="H977" s="1"/>
      <c r="I977" s="1"/>
      <c r="J977" s="1"/>
      <c r="K977" s="1"/>
      <c r="L977" s="1"/>
      <c r="M977" s="1"/>
      <c r="N977" s="1"/>
      <c r="O977" s="1"/>
      <c r="P977" s="1"/>
      <c r="Q977" s="1"/>
      <c r="R977" s="1"/>
      <c r="S977" s="1"/>
      <c r="T977" s="1"/>
    </row>
    <row r="978" spans="1:20" ht="13.5">
      <c r="A978" s="1"/>
      <c r="B978" s="1"/>
      <c r="C978" s="1"/>
      <c r="D978" s="1"/>
      <c r="E978" s="1"/>
      <c r="F978" s="1"/>
      <c r="G978" s="1"/>
      <c r="H978" s="1"/>
      <c r="I978" s="1"/>
      <c r="J978" s="1"/>
      <c r="K978" s="1"/>
      <c r="L978" s="1"/>
      <c r="M978" s="1"/>
      <c r="N978" s="1"/>
      <c r="O978" s="1"/>
      <c r="P978" s="1"/>
      <c r="Q978" s="1"/>
      <c r="R978" s="1"/>
      <c r="S978" s="1"/>
      <c r="T978" s="1"/>
    </row>
    <row r="979" spans="1:20" ht="13.5">
      <c r="A979" s="1"/>
      <c r="B979" s="1"/>
      <c r="C979" s="1"/>
      <c r="D979" s="1"/>
      <c r="E979" s="1"/>
      <c r="F979" s="1"/>
      <c r="G979" s="1"/>
      <c r="H979" s="1"/>
      <c r="I979" s="1"/>
      <c r="J979" s="1"/>
      <c r="K979" s="1"/>
      <c r="L979" s="1"/>
      <c r="M979" s="1"/>
      <c r="N979" s="1"/>
      <c r="O979" s="1"/>
      <c r="P979" s="1"/>
      <c r="Q979" s="1"/>
      <c r="R979" s="1"/>
      <c r="S979" s="1"/>
      <c r="T979" s="1"/>
    </row>
    <row r="980" spans="1:20" ht="13.5">
      <c r="A980" s="1"/>
      <c r="B980" s="1"/>
      <c r="C980" s="1"/>
      <c r="D980" s="1"/>
      <c r="E980" s="1"/>
      <c r="F980" s="1"/>
      <c r="G980" s="1"/>
      <c r="H980" s="1"/>
      <c r="I980" s="1"/>
      <c r="J980" s="1"/>
      <c r="K980" s="1"/>
      <c r="L980" s="1"/>
      <c r="M980" s="1"/>
      <c r="N980" s="1"/>
      <c r="O980" s="1"/>
      <c r="P980" s="1"/>
      <c r="Q980" s="1"/>
      <c r="R980" s="1"/>
      <c r="S980" s="1"/>
      <c r="T980" s="1"/>
    </row>
    <row r="981" spans="1:20" ht="13.5">
      <c r="A981" s="1"/>
      <c r="B981" s="1"/>
      <c r="C981" s="1"/>
      <c r="D981" s="1"/>
      <c r="E981" s="1"/>
      <c r="F981" s="1"/>
      <c r="G981" s="1"/>
      <c r="H981" s="1"/>
      <c r="I981" s="1"/>
      <c r="J981" s="1"/>
      <c r="K981" s="1"/>
      <c r="L981" s="1"/>
      <c r="M981" s="1"/>
      <c r="N981" s="1"/>
      <c r="O981" s="1"/>
      <c r="P981" s="1"/>
      <c r="Q981" s="1"/>
      <c r="R981" s="1"/>
      <c r="S981" s="1"/>
      <c r="T981" s="1"/>
    </row>
    <row r="982" spans="1:20" ht="13.5">
      <c r="A982" s="1"/>
      <c r="B982" s="1"/>
      <c r="C982" s="1"/>
      <c r="D982" s="1"/>
      <c r="E982" s="1"/>
      <c r="F982" s="1"/>
      <c r="G982" s="1"/>
      <c r="H982" s="1"/>
      <c r="I982" s="1"/>
      <c r="J982" s="1"/>
      <c r="K982" s="1"/>
      <c r="L982" s="1"/>
      <c r="M982" s="1"/>
      <c r="N982" s="1"/>
      <c r="O982" s="1"/>
      <c r="P982" s="1"/>
      <c r="Q982" s="1"/>
      <c r="R982" s="1"/>
      <c r="S982" s="1"/>
      <c r="T982" s="1"/>
    </row>
    <row r="983" spans="1:20" ht="13.5">
      <c r="A983" s="1"/>
      <c r="B983" s="1"/>
      <c r="C983" s="1"/>
      <c r="D983" s="1"/>
      <c r="E983" s="1"/>
      <c r="F983" s="1"/>
      <c r="G983" s="1"/>
      <c r="H983" s="1"/>
      <c r="I983" s="1"/>
      <c r="J983" s="1"/>
      <c r="K983" s="1"/>
      <c r="L983" s="1"/>
      <c r="M983" s="1"/>
      <c r="N983" s="1"/>
      <c r="O983" s="1"/>
      <c r="P983" s="1"/>
      <c r="Q983" s="1"/>
      <c r="R983" s="1"/>
      <c r="S983" s="1"/>
      <c r="T983" s="1"/>
    </row>
    <row r="984" spans="1:20" ht="13.5">
      <c r="A984" s="1"/>
      <c r="B984" s="1"/>
      <c r="C984" s="1"/>
      <c r="D984" s="1"/>
      <c r="E984" s="1"/>
      <c r="F984" s="1"/>
      <c r="G984" s="1"/>
      <c r="H984" s="1"/>
      <c r="I984" s="1"/>
      <c r="J984" s="1"/>
      <c r="K984" s="1"/>
      <c r="L984" s="1"/>
      <c r="M984" s="1"/>
      <c r="N984" s="1"/>
      <c r="O984" s="1"/>
      <c r="P984" s="1"/>
      <c r="Q984" s="1"/>
      <c r="R984" s="1"/>
      <c r="S984" s="1"/>
      <c r="T984" s="1"/>
    </row>
    <row r="985" spans="1:20" ht="13.5">
      <c r="A985" s="1"/>
      <c r="B985" s="1"/>
      <c r="C985" s="1"/>
      <c r="D985" s="1"/>
      <c r="E985" s="1"/>
      <c r="F985" s="1"/>
      <c r="G985" s="1"/>
      <c r="H985" s="1"/>
      <c r="I985" s="1"/>
      <c r="J985" s="1"/>
      <c r="K985" s="1"/>
      <c r="L985" s="1"/>
      <c r="M985" s="1"/>
      <c r="N985" s="1"/>
      <c r="O985" s="1"/>
      <c r="P985" s="1"/>
      <c r="Q985" s="1"/>
      <c r="R985" s="1"/>
      <c r="S985" s="1"/>
      <c r="T985" s="1"/>
    </row>
    <row r="986" spans="1:20" ht="13.5">
      <c r="A986" s="1"/>
      <c r="B986" s="1"/>
      <c r="C986" s="1"/>
      <c r="D986" s="1"/>
      <c r="E986" s="1"/>
      <c r="F986" s="1"/>
      <c r="G986" s="1"/>
      <c r="H986" s="1"/>
      <c r="I986" s="1"/>
      <c r="J986" s="1"/>
      <c r="K986" s="1"/>
      <c r="L986" s="1"/>
      <c r="M986" s="1"/>
      <c r="N986" s="1"/>
      <c r="O986" s="1"/>
      <c r="P986" s="1"/>
      <c r="Q986" s="1"/>
      <c r="R986" s="1"/>
      <c r="S986" s="1"/>
      <c r="T986" s="1"/>
    </row>
    <row r="987" spans="1:20" ht="13.5">
      <c r="A987" s="1"/>
      <c r="B987" s="1"/>
      <c r="C987" s="1"/>
      <c r="D987" s="1"/>
      <c r="E987" s="1"/>
      <c r="F987" s="1"/>
      <c r="G987" s="1"/>
      <c r="H987" s="1"/>
      <c r="I987" s="1"/>
      <c r="J987" s="1"/>
      <c r="K987" s="1"/>
      <c r="L987" s="1"/>
      <c r="M987" s="1"/>
      <c r="N987" s="1"/>
      <c r="O987" s="1"/>
      <c r="P987" s="1"/>
      <c r="Q987" s="1"/>
      <c r="R987" s="1"/>
      <c r="S987" s="1"/>
      <c r="T987" s="1"/>
    </row>
    <row r="988" spans="1:20" ht="13.5">
      <c r="A988" s="1"/>
      <c r="B988" s="1"/>
      <c r="C988" s="1"/>
      <c r="D988" s="1"/>
      <c r="E988" s="1"/>
      <c r="F988" s="1"/>
      <c r="G988" s="1"/>
      <c r="H988" s="1"/>
      <c r="I988" s="1"/>
      <c r="J988" s="1"/>
      <c r="K988" s="1"/>
      <c r="L988" s="1"/>
      <c r="M988" s="1"/>
      <c r="N988" s="1"/>
      <c r="O988" s="1"/>
      <c r="P988" s="1"/>
      <c r="Q988" s="1"/>
      <c r="R988" s="1"/>
      <c r="S988" s="1"/>
      <c r="T988" s="1"/>
    </row>
    <row r="989" spans="1:20" ht="13.5">
      <c r="A989" s="1"/>
      <c r="B989" s="1"/>
      <c r="C989" s="1"/>
      <c r="D989" s="1"/>
      <c r="E989" s="1"/>
      <c r="F989" s="1"/>
      <c r="G989" s="1"/>
      <c r="H989" s="1"/>
      <c r="I989" s="1"/>
      <c r="J989" s="1"/>
      <c r="K989" s="1"/>
      <c r="L989" s="1"/>
      <c r="M989" s="1"/>
      <c r="N989" s="1"/>
      <c r="O989" s="1"/>
      <c r="P989" s="1"/>
      <c r="Q989" s="1"/>
      <c r="R989" s="1"/>
      <c r="S989" s="1"/>
      <c r="T989" s="1"/>
    </row>
    <row r="990" spans="1:20" ht="13.5">
      <c r="A990" s="1"/>
      <c r="B990" s="1"/>
      <c r="C990" s="1"/>
      <c r="D990" s="1"/>
      <c r="E990" s="1"/>
      <c r="F990" s="1"/>
      <c r="G990" s="1"/>
      <c r="H990" s="1"/>
      <c r="I990" s="1"/>
      <c r="J990" s="1"/>
      <c r="K990" s="1"/>
      <c r="L990" s="1"/>
      <c r="M990" s="1"/>
      <c r="N990" s="1"/>
      <c r="O990" s="1"/>
      <c r="P990" s="1"/>
      <c r="Q990" s="1"/>
      <c r="R990" s="1"/>
      <c r="S990" s="1"/>
      <c r="T990" s="1"/>
    </row>
    <row r="991" spans="1:20" ht="13.5">
      <c r="A991" s="1"/>
      <c r="B991" s="1"/>
      <c r="C991" s="1"/>
      <c r="D991" s="1"/>
      <c r="E991" s="1"/>
      <c r="F991" s="1"/>
      <c r="G991" s="1"/>
      <c r="H991" s="1"/>
      <c r="I991" s="1"/>
      <c r="J991" s="1"/>
      <c r="K991" s="1"/>
      <c r="L991" s="1"/>
      <c r="M991" s="1"/>
      <c r="N991" s="1"/>
      <c r="O991" s="1"/>
      <c r="P991" s="1"/>
      <c r="Q991" s="1"/>
      <c r="R991" s="1"/>
      <c r="S991" s="1"/>
      <c r="T991" s="1"/>
    </row>
    <row r="992" spans="1:20" ht="13.5">
      <c r="A992" s="1"/>
      <c r="B992" s="1"/>
      <c r="C992" s="1"/>
      <c r="D992" s="1"/>
      <c r="E992" s="1"/>
      <c r="F992" s="1"/>
      <c r="G992" s="1"/>
      <c r="H992" s="1"/>
      <c r="I992" s="1"/>
      <c r="J992" s="1"/>
      <c r="K992" s="1"/>
      <c r="L992" s="1"/>
      <c r="M992" s="1"/>
      <c r="N992" s="1"/>
      <c r="O992" s="1"/>
      <c r="P992" s="1"/>
      <c r="Q992" s="1"/>
      <c r="R992" s="1"/>
      <c r="S992" s="1"/>
      <c r="T992" s="1"/>
    </row>
    <row r="993" spans="1:20" ht="13.5">
      <c r="A993" s="1"/>
      <c r="B993" s="1"/>
      <c r="C993" s="1"/>
      <c r="D993" s="1"/>
      <c r="E993" s="1"/>
      <c r="F993" s="1"/>
      <c r="G993" s="1"/>
      <c r="H993" s="1"/>
      <c r="I993" s="1"/>
      <c r="J993" s="1"/>
      <c r="K993" s="1"/>
      <c r="L993" s="1"/>
      <c r="M993" s="1"/>
      <c r="N993" s="1"/>
      <c r="O993" s="1"/>
      <c r="P993" s="1"/>
      <c r="Q993" s="1"/>
      <c r="R993" s="1"/>
      <c r="S993" s="1"/>
      <c r="T993" s="1"/>
    </row>
    <row r="994" spans="1:20" ht="13.5">
      <c r="A994" s="1"/>
      <c r="B994" s="1"/>
      <c r="C994" s="1"/>
      <c r="D994" s="1"/>
      <c r="E994" s="1"/>
      <c r="F994" s="1"/>
      <c r="G994" s="1"/>
      <c r="H994" s="1"/>
      <c r="I994" s="1"/>
      <c r="J994" s="1"/>
      <c r="K994" s="1"/>
      <c r="L994" s="1"/>
      <c r="M994" s="1"/>
      <c r="N994" s="1"/>
      <c r="O994" s="1"/>
      <c r="P994" s="1"/>
      <c r="Q994" s="1"/>
      <c r="R994" s="1"/>
      <c r="S994" s="1"/>
      <c r="T994" s="1"/>
    </row>
    <row r="995" spans="1:20" ht="13.5">
      <c r="A995" s="1"/>
      <c r="B995" s="1"/>
      <c r="C995" s="1"/>
      <c r="D995" s="1"/>
      <c r="E995" s="1"/>
      <c r="F995" s="1"/>
      <c r="G995" s="1"/>
      <c r="H995" s="1"/>
      <c r="I995" s="1"/>
      <c r="J995" s="1"/>
      <c r="K995" s="1"/>
      <c r="L995" s="1"/>
      <c r="M995" s="1"/>
      <c r="N995" s="1"/>
      <c r="O995" s="1"/>
      <c r="P995" s="1"/>
      <c r="Q995" s="1"/>
      <c r="R995" s="1"/>
      <c r="S995" s="1"/>
      <c r="T995" s="1"/>
    </row>
    <row r="996" spans="1:20" ht="13.5">
      <c r="A996" s="1"/>
      <c r="B996" s="1"/>
      <c r="C996" s="1"/>
      <c r="D996" s="1"/>
      <c r="E996" s="1"/>
      <c r="F996" s="1"/>
      <c r="G996" s="1"/>
      <c r="H996" s="1"/>
      <c r="I996" s="1"/>
      <c r="J996" s="1"/>
      <c r="K996" s="1"/>
      <c r="L996" s="1"/>
      <c r="M996" s="1"/>
      <c r="N996" s="1"/>
      <c r="O996" s="1"/>
      <c r="P996" s="1"/>
      <c r="Q996" s="1"/>
      <c r="R996" s="1"/>
      <c r="S996" s="1"/>
      <c r="T996" s="1"/>
    </row>
    <row r="997" spans="1:20" ht="13.5">
      <c r="A997" s="1"/>
      <c r="C997" s="1"/>
      <c r="D997" s="1"/>
      <c r="E997" s="1"/>
      <c r="F997" s="1"/>
      <c r="G997" s="1"/>
      <c r="H997" s="1"/>
      <c r="I997" s="1"/>
      <c r="J997" s="1"/>
      <c r="K997" s="1"/>
      <c r="L997" s="1"/>
      <c r="M997" s="1"/>
      <c r="N997" s="1"/>
      <c r="O997" s="1"/>
      <c r="P997" s="1"/>
      <c r="Q997" s="1"/>
      <c r="R997" s="1"/>
      <c r="S997" s="1"/>
      <c r="T997" s="1"/>
    </row>
    <row r="998" spans="1:20" ht="13.5">
      <c r="A998" s="1"/>
      <c r="C998" s="1"/>
      <c r="D998" s="1"/>
      <c r="E998" s="1"/>
      <c r="F998" s="1"/>
      <c r="G998" s="1"/>
      <c r="H998" s="1"/>
      <c r="I998" s="1"/>
      <c r="J998" s="1"/>
      <c r="K998" s="1"/>
      <c r="L998" s="1"/>
      <c r="M998" s="1"/>
      <c r="N998" s="1"/>
      <c r="O998" s="1"/>
      <c r="P998" s="1"/>
      <c r="Q998" s="1"/>
      <c r="R998" s="1"/>
      <c r="S998" s="1"/>
      <c r="T998" s="1"/>
    </row>
    <row r="999" spans="1:20" ht="13.5">
      <c r="A999" s="1"/>
      <c r="C999" s="1"/>
      <c r="D999" s="1"/>
      <c r="E999" s="1"/>
      <c r="F999" s="1"/>
      <c r="G999" s="1"/>
      <c r="H999" s="1"/>
      <c r="I999" s="1"/>
      <c r="J999" s="1"/>
      <c r="K999" s="1"/>
      <c r="L999" s="1"/>
      <c r="M999" s="1"/>
      <c r="N999" s="1"/>
      <c r="O999" s="1"/>
      <c r="P999" s="1"/>
      <c r="Q999" s="1"/>
      <c r="R999" s="1"/>
      <c r="S999" s="1"/>
      <c r="T999" s="1"/>
    </row>
    <row r="1000" spans="1:20" ht="13.5">
      <c r="A1000" s="1"/>
      <c r="C1000" s="1"/>
      <c r="D1000" s="1"/>
      <c r="E1000" s="1"/>
      <c r="F1000" s="1"/>
      <c r="G1000" s="1"/>
      <c r="H1000" s="1"/>
      <c r="I1000" s="1"/>
      <c r="J1000" s="1"/>
      <c r="K1000" s="1"/>
      <c r="L1000" s="1"/>
      <c r="M1000" s="1"/>
      <c r="N1000" s="1"/>
      <c r="O1000" s="1"/>
      <c r="P1000" s="1"/>
      <c r="Q1000" s="1"/>
      <c r="R1000" s="1"/>
      <c r="S1000" s="1"/>
      <c r="T1000" s="1"/>
    </row>
    <row r="1001" spans="1:20" ht="13.5">
      <c r="A1001" s="1"/>
      <c r="C1001" s="1"/>
      <c r="D1001" s="1"/>
      <c r="E1001" s="1"/>
      <c r="F1001" s="1"/>
      <c r="G1001" s="1"/>
      <c r="H1001" s="1"/>
      <c r="I1001" s="1"/>
      <c r="J1001" s="1"/>
      <c r="K1001" s="1"/>
      <c r="L1001" s="1"/>
      <c r="M1001" s="1"/>
      <c r="N1001" s="1"/>
      <c r="O1001" s="1"/>
      <c r="P1001" s="1"/>
      <c r="Q1001" s="1"/>
      <c r="R1001" s="1"/>
      <c r="S1001" s="1"/>
      <c r="T100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8D9E9-9B71-4171-A9D6-92FDBD7BAFD1}">
  <dimension ref="B2:H303"/>
  <sheetViews>
    <sheetView workbookViewId="0"/>
  </sheetViews>
  <sheetFormatPr defaultRowHeight="12.5"/>
  <cols>
    <col min="3" max="3" width="16.6328125" customWidth="1"/>
    <col min="5" max="5" width="15.26953125" customWidth="1"/>
    <col min="6" max="6" width="18.1796875" customWidth="1"/>
    <col min="7" max="7" width="17.08984375" bestFit="1" customWidth="1"/>
  </cols>
  <sheetData>
    <row r="2" spans="2:7" ht="13">
      <c r="B2" s="662" t="s">
        <v>2456</v>
      </c>
      <c r="C2" s="662" t="s">
        <v>1312</v>
      </c>
      <c r="D2" s="662" t="s">
        <v>868</v>
      </c>
      <c r="E2" s="662" t="s">
        <v>43</v>
      </c>
      <c r="F2" s="662" t="s">
        <v>869</v>
      </c>
      <c r="G2" s="662" t="s">
        <v>1866</v>
      </c>
    </row>
    <row r="3" spans="2:7" ht="13">
      <c r="B3" s="189">
        <v>1</v>
      </c>
      <c r="C3" s="189" t="s">
        <v>877</v>
      </c>
      <c r="D3" s="189" t="s">
        <v>879</v>
      </c>
      <c r="E3" s="189" t="s">
        <v>144</v>
      </c>
      <c r="F3" s="189" t="s">
        <v>480</v>
      </c>
      <c r="G3" s="663" t="s">
        <v>1814</v>
      </c>
    </row>
    <row r="4" spans="2:7" ht="13">
      <c r="B4" s="189">
        <v>2</v>
      </c>
      <c r="C4" s="189" t="s">
        <v>880</v>
      </c>
      <c r="D4" s="189" t="s">
        <v>879</v>
      </c>
      <c r="E4" s="189" t="s">
        <v>174</v>
      </c>
      <c r="F4" s="189" t="s">
        <v>740</v>
      </c>
      <c r="G4" s="663" t="s">
        <v>1814</v>
      </c>
    </row>
    <row r="5" spans="2:7" ht="13">
      <c r="B5" s="189">
        <v>3</v>
      </c>
      <c r="C5" s="189" t="s">
        <v>884</v>
      </c>
      <c r="D5" s="189" t="s">
        <v>874</v>
      </c>
      <c r="E5" s="189" t="s">
        <v>144</v>
      </c>
      <c r="F5" s="189" t="s">
        <v>675</v>
      </c>
      <c r="G5" s="663" t="s">
        <v>1814</v>
      </c>
    </row>
    <row r="6" spans="2:7" ht="13">
      <c r="B6" s="189">
        <v>4</v>
      </c>
      <c r="C6" s="189" t="s">
        <v>886</v>
      </c>
      <c r="D6" s="189" t="s">
        <v>888</v>
      </c>
      <c r="E6" s="189" t="s">
        <v>174</v>
      </c>
      <c r="F6" s="189" t="s">
        <v>889</v>
      </c>
      <c r="G6" s="663" t="s">
        <v>1814</v>
      </c>
    </row>
    <row r="7" spans="2:7" ht="13">
      <c r="B7" s="189">
        <v>5</v>
      </c>
      <c r="C7" s="189" t="s">
        <v>890</v>
      </c>
      <c r="D7" s="189" t="s">
        <v>891</v>
      </c>
      <c r="E7" s="189" t="s">
        <v>209</v>
      </c>
      <c r="F7" s="189" t="s">
        <v>646</v>
      </c>
      <c r="G7" s="663" t="s">
        <v>1814</v>
      </c>
    </row>
    <row r="8" spans="2:7" ht="13">
      <c r="B8" s="189">
        <v>6</v>
      </c>
      <c r="C8" s="189" t="s">
        <v>892</v>
      </c>
      <c r="D8" s="189" t="s">
        <v>894</v>
      </c>
      <c r="E8" s="189" t="s">
        <v>137</v>
      </c>
      <c r="F8" s="189" t="s">
        <v>150</v>
      </c>
      <c r="G8" s="663" t="s">
        <v>1814</v>
      </c>
    </row>
    <row r="9" spans="2:7" ht="13">
      <c r="B9" s="189">
        <v>7</v>
      </c>
      <c r="C9" s="189" t="s">
        <v>895</v>
      </c>
      <c r="D9" s="189" t="s">
        <v>891</v>
      </c>
      <c r="E9" s="189" t="s">
        <v>137</v>
      </c>
      <c r="F9" s="189" t="s">
        <v>897</v>
      </c>
      <c r="G9" s="663" t="s">
        <v>1814</v>
      </c>
    </row>
    <row r="10" spans="2:7" ht="13">
      <c r="B10" s="189">
        <v>8</v>
      </c>
      <c r="C10" s="189" t="s">
        <v>898</v>
      </c>
      <c r="D10" s="189" t="s">
        <v>161</v>
      </c>
      <c r="E10" s="189" t="s">
        <v>209</v>
      </c>
      <c r="F10" s="189" t="s">
        <v>899</v>
      </c>
      <c r="G10" s="663" t="s">
        <v>1814</v>
      </c>
    </row>
    <row r="11" spans="2:7" ht="13">
      <c r="B11" s="189">
        <v>9</v>
      </c>
      <c r="C11" s="189" t="s">
        <v>900</v>
      </c>
      <c r="D11" s="189" t="s">
        <v>901</v>
      </c>
      <c r="E11" s="189" t="s">
        <v>137</v>
      </c>
      <c r="F11" s="189" t="s">
        <v>692</v>
      </c>
      <c r="G11" s="663" t="s">
        <v>1814</v>
      </c>
    </row>
    <row r="12" spans="2:7" ht="13">
      <c r="B12" s="189">
        <v>10</v>
      </c>
      <c r="C12" s="189" t="s">
        <v>905</v>
      </c>
      <c r="D12" s="189" t="s">
        <v>907</v>
      </c>
      <c r="E12" s="189" t="s">
        <v>174</v>
      </c>
      <c r="F12" s="189" t="s">
        <v>72</v>
      </c>
      <c r="G12" s="663" t="s">
        <v>1814</v>
      </c>
    </row>
    <row r="13" spans="2:7" ht="13">
      <c r="B13" s="189">
        <v>11</v>
      </c>
      <c r="C13" s="189" t="s">
        <v>912</v>
      </c>
      <c r="D13" s="189" t="s">
        <v>402</v>
      </c>
      <c r="E13" s="189" t="s">
        <v>174</v>
      </c>
      <c r="F13" s="189" t="s">
        <v>914</v>
      </c>
      <c r="G13" s="663" t="s">
        <v>1814</v>
      </c>
    </row>
    <row r="14" spans="2:7" ht="13">
      <c r="B14" s="189">
        <v>12</v>
      </c>
      <c r="C14" s="189" t="s">
        <v>918</v>
      </c>
      <c r="D14" s="189" t="s">
        <v>879</v>
      </c>
      <c r="E14" s="189" t="s">
        <v>174</v>
      </c>
      <c r="F14" s="189" t="s">
        <v>839</v>
      </c>
      <c r="G14" s="663" t="s">
        <v>1814</v>
      </c>
    </row>
    <row r="15" spans="2:7" ht="13">
      <c r="B15" s="189">
        <v>13</v>
      </c>
      <c r="C15" s="189" t="s">
        <v>920</v>
      </c>
      <c r="D15" s="189" t="s">
        <v>402</v>
      </c>
      <c r="E15" s="189" t="s">
        <v>137</v>
      </c>
      <c r="F15" s="189" t="s">
        <v>399</v>
      </c>
      <c r="G15" s="663" t="s">
        <v>1814</v>
      </c>
    </row>
    <row r="16" spans="2:7" ht="13">
      <c r="B16" s="189">
        <v>14</v>
      </c>
      <c r="C16" s="189" t="s">
        <v>922</v>
      </c>
      <c r="D16" s="189" t="s">
        <v>348</v>
      </c>
      <c r="E16" s="189" t="s">
        <v>144</v>
      </c>
      <c r="F16" s="189" t="s">
        <v>280</v>
      </c>
      <c r="G16" s="663" t="s">
        <v>1814</v>
      </c>
    </row>
    <row r="17" spans="2:7" ht="13">
      <c r="B17" s="189">
        <v>15</v>
      </c>
      <c r="C17" s="189" t="s">
        <v>925</v>
      </c>
      <c r="D17" s="189" t="s">
        <v>926</v>
      </c>
      <c r="E17" s="189" t="s">
        <v>209</v>
      </c>
      <c r="F17" s="189" t="s">
        <v>927</v>
      </c>
      <c r="G17" s="663" t="s">
        <v>1814</v>
      </c>
    </row>
    <row r="18" spans="2:7" ht="13">
      <c r="B18" s="189">
        <v>16</v>
      </c>
      <c r="C18" s="189" t="s">
        <v>928</v>
      </c>
      <c r="D18" s="189" t="s">
        <v>874</v>
      </c>
      <c r="E18" s="189" t="s">
        <v>137</v>
      </c>
      <c r="F18" s="189" t="s">
        <v>295</v>
      </c>
      <c r="G18" s="663" t="s">
        <v>1814</v>
      </c>
    </row>
    <row r="19" spans="2:7" ht="13">
      <c r="B19" s="189">
        <v>17</v>
      </c>
      <c r="C19" s="189" t="s">
        <v>929</v>
      </c>
      <c r="D19" s="189" t="s">
        <v>930</v>
      </c>
      <c r="E19" s="189" t="s">
        <v>137</v>
      </c>
      <c r="F19" s="189" t="s">
        <v>931</v>
      </c>
      <c r="G19" s="663" t="s">
        <v>1814</v>
      </c>
    </row>
    <row r="20" spans="2:7" ht="13">
      <c r="B20" s="189">
        <v>18</v>
      </c>
      <c r="C20" s="189" t="s">
        <v>932</v>
      </c>
      <c r="D20" s="189" t="s">
        <v>933</v>
      </c>
      <c r="E20" s="189" t="s">
        <v>137</v>
      </c>
      <c r="F20" s="189" t="s">
        <v>934</v>
      </c>
      <c r="G20" s="663" t="s">
        <v>1814</v>
      </c>
    </row>
    <row r="21" spans="2:7" ht="13">
      <c r="B21" s="189">
        <v>19</v>
      </c>
      <c r="C21" s="189" t="s">
        <v>935</v>
      </c>
      <c r="D21" s="189" t="s">
        <v>937</v>
      </c>
      <c r="E21" s="189" t="s">
        <v>144</v>
      </c>
      <c r="F21" s="189" t="s">
        <v>450</v>
      </c>
      <c r="G21" s="663" t="s">
        <v>1814</v>
      </c>
    </row>
    <row r="22" spans="2:7" ht="13">
      <c r="B22" s="189">
        <v>20</v>
      </c>
      <c r="C22" s="189" t="s">
        <v>941</v>
      </c>
      <c r="D22" s="189" t="s">
        <v>387</v>
      </c>
      <c r="E22" s="189" t="s">
        <v>144</v>
      </c>
      <c r="F22" s="189" t="s">
        <v>389</v>
      </c>
      <c r="G22" s="663" t="s">
        <v>1814</v>
      </c>
    </row>
    <row r="23" spans="2:7" ht="13">
      <c r="B23" s="189">
        <v>21</v>
      </c>
      <c r="C23" s="189" t="s">
        <v>946</v>
      </c>
      <c r="D23" s="189" t="s">
        <v>947</v>
      </c>
      <c r="E23" s="189" t="s">
        <v>174</v>
      </c>
      <c r="F23" s="189" t="s">
        <v>723</v>
      </c>
      <c r="G23" s="663" t="s">
        <v>1814</v>
      </c>
    </row>
    <row r="24" spans="2:7" ht="13">
      <c r="B24" s="189">
        <v>22</v>
      </c>
      <c r="C24" s="189" t="s">
        <v>948</v>
      </c>
      <c r="D24" s="189" t="s">
        <v>161</v>
      </c>
      <c r="E24" s="189" t="s">
        <v>144</v>
      </c>
      <c r="F24" s="189" t="s">
        <v>274</v>
      </c>
      <c r="G24" s="664" t="s">
        <v>2620</v>
      </c>
    </row>
    <row r="25" spans="2:7" ht="13">
      <c r="B25" s="189">
        <v>23</v>
      </c>
      <c r="C25" s="189" t="s">
        <v>951</v>
      </c>
      <c r="D25" s="189" t="s">
        <v>888</v>
      </c>
      <c r="E25" s="189" t="s">
        <v>174</v>
      </c>
      <c r="F25" s="189" t="s">
        <v>512</v>
      </c>
      <c r="G25" s="663" t="s">
        <v>1814</v>
      </c>
    </row>
    <row r="26" spans="2:7" ht="13">
      <c r="B26" s="189">
        <v>24</v>
      </c>
      <c r="C26" s="189" t="s">
        <v>956</v>
      </c>
      <c r="D26" s="189" t="s">
        <v>930</v>
      </c>
      <c r="E26" s="189" t="s">
        <v>209</v>
      </c>
      <c r="F26" s="189" t="s">
        <v>958</v>
      </c>
      <c r="G26" s="663" t="s">
        <v>1814</v>
      </c>
    </row>
    <row r="27" spans="2:7" ht="13">
      <c r="B27" s="189">
        <v>25</v>
      </c>
      <c r="C27" s="189" t="s">
        <v>962</v>
      </c>
      <c r="D27" s="189" t="s">
        <v>964</v>
      </c>
      <c r="E27" s="189" t="s">
        <v>174</v>
      </c>
      <c r="F27" s="189" t="s">
        <v>227</v>
      </c>
      <c r="G27" s="663" t="s">
        <v>1814</v>
      </c>
    </row>
    <row r="28" spans="2:7" ht="13">
      <c r="B28" s="189">
        <v>26</v>
      </c>
      <c r="C28" s="189" t="s">
        <v>965</v>
      </c>
      <c r="D28" s="189" t="s">
        <v>402</v>
      </c>
      <c r="E28" s="189" t="s">
        <v>137</v>
      </c>
      <c r="F28" s="189" t="s">
        <v>157</v>
      </c>
      <c r="G28" s="663" t="s">
        <v>1814</v>
      </c>
    </row>
    <row r="29" spans="2:7" ht="13">
      <c r="B29" s="189">
        <v>27</v>
      </c>
      <c r="C29" s="189" t="s">
        <v>967</v>
      </c>
      <c r="D29" s="189" t="s">
        <v>402</v>
      </c>
      <c r="E29" s="189" t="s">
        <v>137</v>
      </c>
      <c r="F29" s="189" t="s">
        <v>968</v>
      </c>
      <c r="G29" s="663" t="s">
        <v>1814</v>
      </c>
    </row>
    <row r="30" spans="2:7" ht="13">
      <c r="B30" s="189">
        <v>28</v>
      </c>
      <c r="C30" s="189" t="s">
        <v>969</v>
      </c>
      <c r="D30" s="189" t="s">
        <v>894</v>
      </c>
      <c r="E30" s="189" t="s">
        <v>144</v>
      </c>
      <c r="F30" s="189" t="s">
        <v>243</v>
      </c>
      <c r="G30" s="663" t="s">
        <v>1814</v>
      </c>
    </row>
    <row r="31" spans="2:7" ht="13">
      <c r="B31" s="189">
        <v>29</v>
      </c>
      <c r="C31" s="189" t="s">
        <v>970</v>
      </c>
      <c r="D31" s="189" t="s">
        <v>971</v>
      </c>
      <c r="E31" s="189" t="s">
        <v>174</v>
      </c>
      <c r="F31" s="189" t="s">
        <v>460</v>
      </c>
      <c r="G31" s="663" t="s">
        <v>1814</v>
      </c>
    </row>
    <row r="32" spans="2:7" ht="13">
      <c r="B32" s="189">
        <v>30</v>
      </c>
      <c r="C32" s="189" t="s">
        <v>975</v>
      </c>
      <c r="D32" s="189" t="s">
        <v>930</v>
      </c>
      <c r="E32" s="189" t="s">
        <v>209</v>
      </c>
      <c r="F32" s="189" t="s">
        <v>977</v>
      </c>
      <c r="G32" s="663" t="s">
        <v>1814</v>
      </c>
    </row>
    <row r="33" spans="2:7" ht="13">
      <c r="B33" s="189">
        <v>31</v>
      </c>
      <c r="C33" s="189" t="s">
        <v>978</v>
      </c>
      <c r="D33" s="189" t="s">
        <v>879</v>
      </c>
      <c r="E33" s="189" t="s">
        <v>144</v>
      </c>
      <c r="F33" s="189" t="s">
        <v>495</v>
      </c>
      <c r="G33" s="663" t="s">
        <v>1814</v>
      </c>
    </row>
    <row r="34" spans="2:7" ht="13">
      <c r="B34" s="189">
        <v>32</v>
      </c>
      <c r="C34" s="189" t="s">
        <v>979</v>
      </c>
      <c r="D34" s="189" t="s">
        <v>980</v>
      </c>
      <c r="E34" s="189" t="s">
        <v>137</v>
      </c>
      <c r="F34" s="189" t="s">
        <v>651</v>
      </c>
      <c r="G34" s="663" t="s">
        <v>1814</v>
      </c>
    </row>
    <row r="35" spans="2:7" ht="13">
      <c r="B35" s="189">
        <v>33</v>
      </c>
      <c r="C35" s="189" t="s">
        <v>981</v>
      </c>
      <c r="D35" s="189" t="s">
        <v>161</v>
      </c>
      <c r="E35" s="189" t="s">
        <v>819</v>
      </c>
      <c r="F35" s="189" t="s">
        <v>485</v>
      </c>
      <c r="G35" s="663" t="s">
        <v>1814</v>
      </c>
    </row>
    <row r="36" spans="2:7" ht="13">
      <c r="B36" s="189">
        <v>34</v>
      </c>
      <c r="C36" s="189" t="s">
        <v>983</v>
      </c>
      <c r="D36" s="189" t="s">
        <v>985</v>
      </c>
      <c r="E36" s="189" t="s">
        <v>174</v>
      </c>
      <c r="F36" s="189" t="s">
        <v>986</v>
      </c>
      <c r="G36" s="663" t="s">
        <v>1814</v>
      </c>
    </row>
    <row r="37" spans="2:7" ht="13">
      <c r="B37" s="189">
        <v>35</v>
      </c>
      <c r="C37" s="189" t="s">
        <v>987</v>
      </c>
      <c r="D37" s="189" t="s">
        <v>891</v>
      </c>
      <c r="E37" s="189" t="s">
        <v>209</v>
      </c>
      <c r="F37" s="189" t="s">
        <v>988</v>
      </c>
      <c r="G37" s="663" t="s">
        <v>1814</v>
      </c>
    </row>
    <row r="38" spans="2:7" ht="13">
      <c r="B38" s="189">
        <v>36</v>
      </c>
      <c r="C38" s="189" t="s">
        <v>989</v>
      </c>
      <c r="D38" s="189" t="s">
        <v>402</v>
      </c>
      <c r="E38" s="189" t="s">
        <v>174</v>
      </c>
      <c r="F38" s="189" t="s">
        <v>990</v>
      </c>
      <c r="G38" s="663" t="s">
        <v>1814</v>
      </c>
    </row>
    <row r="39" spans="2:7" ht="13">
      <c r="B39" s="189">
        <v>37</v>
      </c>
      <c r="C39" s="189" t="s">
        <v>992</v>
      </c>
      <c r="D39" s="189" t="s">
        <v>993</v>
      </c>
      <c r="E39" s="189" t="s">
        <v>174</v>
      </c>
      <c r="F39" s="189" t="s">
        <v>843</v>
      </c>
      <c r="G39" s="663" t="s">
        <v>1814</v>
      </c>
    </row>
    <row r="40" spans="2:7" ht="13">
      <c r="B40" s="189">
        <v>38</v>
      </c>
      <c r="C40" s="189" t="s">
        <v>994</v>
      </c>
      <c r="D40" s="189" t="s">
        <v>874</v>
      </c>
      <c r="E40" s="189" t="s">
        <v>144</v>
      </c>
      <c r="F40" s="189" t="s">
        <v>379</v>
      </c>
      <c r="G40" s="663" t="s">
        <v>1814</v>
      </c>
    </row>
    <row r="41" spans="2:7" ht="13">
      <c r="B41" s="189">
        <v>39</v>
      </c>
      <c r="C41" s="189" t="s">
        <v>995</v>
      </c>
      <c r="D41" s="189" t="s">
        <v>996</v>
      </c>
      <c r="E41" s="189" t="s">
        <v>137</v>
      </c>
      <c r="F41" s="189" t="s">
        <v>997</v>
      </c>
      <c r="G41" s="663" t="s">
        <v>1814</v>
      </c>
    </row>
    <row r="42" spans="2:7" ht="13">
      <c r="B42" s="189">
        <v>40</v>
      </c>
      <c r="C42" s="189" t="s">
        <v>998</v>
      </c>
      <c r="D42" s="189" t="s">
        <v>161</v>
      </c>
      <c r="E42" s="189" t="s">
        <v>174</v>
      </c>
      <c r="F42" s="189" t="s">
        <v>999</v>
      </c>
      <c r="G42" s="663" t="s">
        <v>1814</v>
      </c>
    </row>
    <row r="43" spans="2:7" ht="13">
      <c r="B43" s="189">
        <v>41</v>
      </c>
      <c r="C43" s="189" t="s">
        <v>1000</v>
      </c>
      <c r="D43" s="189" t="s">
        <v>874</v>
      </c>
      <c r="E43" s="189" t="s">
        <v>144</v>
      </c>
      <c r="F43" s="665" t="s">
        <v>319</v>
      </c>
      <c r="G43" s="663" t="s">
        <v>1814</v>
      </c>
    </row>
    <row r="44" spans="2:7" ht="13">
      <c r="B44" s="189">
        <v>42</v>
      </c>
      <c r="C44" s="189" t="s">
        <v>1001</v>
      </c>
      <c r="D44" s="189" t="s">
        <v>1003</v>
      </c>
      <c r="E44" s="189" t="s">
        <v>137</v>
      </c>
      <c r="F44" s="189" t="s">
        <v>609</v>
      </c>
      <c r="G44" s="663" t="s">
        <v>1814</v>
      </c>
    </row>
    <row r="45" spans="2:7" ht="13">
      <c r="B45" s="189">
        <v>43</v>
      </c>
      <c r="C45" s="189" t="s">
        <v>1006</v>
      </c>
      <c r="D45" s="189" t="s">
        <v>1007</v>
      </c>
      <c r="E45" s="189" t="s">
        <v>144</v>
      </c>
      <c r="F45" s="189" t="s">
        <v>290</v>
      </c>
      <c r="G45" s="663" t="s">
        <v>1814</v>
      </c>
    </row>
    <row r="46" spans="2:7" ht="13">
      <c r="B46" s="189">
        <v>44</v>
      </c>
      <c r="C46" s="189" t="s">
        <v>1008</v>
      </c>
      <c r="D46" s="189" t="s">
        <v>894</v>
      </c>
      <c r="E46" s="189" t="s">
        <v>144</v>
      </c>
      <c r="F46" s="189" t="s">
        <v>256</v>
      </c>
      <c r="G46" s="663" t="s">
        <v>1814</v>
      </c>
    </row>
    <row r="47" spans="2:7" ht="13">
      <c r="B47" s="189">
        <v>45</v>
      </c>
      <c r="C47" s="189" t="s">
        <v>1012</v>
      </c>
      <c r="D47" s="189" t="s">
        <v>1014</v>
      </c>
      <c r="E47" s="189" t="s">
        <v>174</v>
      </c>
      <c r="F47" s="189" t="s">
        <v>567</v>
      </c>
      <c r="G47" s="663" t="s">
        <v>1814</v>
      </c>
    </row>
    <row r="48" spans="2:7" ht="13">
      <c r="B48" s="189">
        <v>46</v>
      </c>
      <c r="C48" s="189" t="s">
        <v>1015</v>
      </c>
      <c r="D48" s="189" t="s">
        <v>930</v>
      </c>
      <c r="E48" s="189" t="s">
        <v>137</v>
      </c>
      <c r="F48" s="189" t="s">
        <v>1016</v>
      </c>
      <c r="G48" s="663" t="s">
        <v>1814</v>
      </c>
    </row>
    <row r="49" spans="2:7" ht="13">
      <c r="B49" s="189">
        <v>47</v>
      </c>
      <c r="C49" s="189" t="s">
        <v>1017</v>
      </c>
      <c r="D49" s="189" t="s">
        <v>891</v>
      </c>
      <c r="E49" s="189" t="s">
        <v>174</v>
      </c>
      <c r="F49" s="189" t="s">
        <v>1019</v>
      </c>
      <c r="G49" s="663" t="s">
        <v>1814</v>
      </c>
    </row>
    <row r="50" spans="2:7" ht="13">
      <c r="B50" s="189">
        <v>48</v>
      </c>
      <c r="C50" s="189" t="s">
        <v>1023</v>
      </c>
      <c r="D50" s="189" t="s">
        <v>1025</v>
      </c>
      <c r="E50" s="189" t="s">
        <v>137</v>
      </c>
      <c r="F50" s="665" t="s">
        <v>1026</v>
      </c>
      <c r="G50" s="663" t="s">
        <v>1814</v>
      </c>
    </row>
    <row r="51" spans="2:7" ht="13">
      <c r="B51" s="189">
        <v>49</v>
      </c>
      <c r="C51" s="189" t="s">
        <v>1029</v>
      </c>
      <c r="D51" s="189" t="s">
        <v>161</v>
      </c>
      <c r="E51" s="189" t="s">
        <v>144</v>
      </c>
      <c r="F51" s="189" t="s">
        <v>237</v>
      </c>
      <c r="G51" s="663" t="s">
        <v>1814</v>
      </c>
    </row>
    <row r="52" spans="2:7" ht="13">
      <c r="B52" s="189">
        <v>50</v>
      </c>
      <c r="C52" s="189" t="s">
        <v>1030</v>
      </c>
      <c r="D52" s="189" t="s">
        <v>985</v>
      </c>
      <c r="E52" s="189" t="s">
        <v>144</v>
      </c>
      <c r="F52" s="189" t="s">
        <v>330</v>
      </c>
      <c r="G52" s="663" t="s">
        <v>1814</v>
      </c>
    </row>
    <row r="53" spans="2:7" ht="13">
      <c r="B53" s="189">
        <v>51</v>
      </c>
      <c r="C53" s="189" t="s">
        <v>1036</v>
      </c>
      <c r="D53" s="189" t="s">
        <v>874</v>
      </c>
      <c r="E53" s="189" t="s">
        <v>209</v>
      </c>
      <c r="F53" s="189" t="s">
        <v>1037</v>
      </c>
      <c r="G53" s="663" t="s">
        <v>1814</v>
      </c>
    </row>
    <row r="54" spans="2:7" ht="13">
      <c r="B54" s="189">
        <v>52</v>
      </c>
      <c r="C54" s="189" t="s">
        <v>1041</v>
      </c>
      <c r="D54" s="189" t="s">
        <v>1043</v>
      </c>
      <c r="E54" s="189" t="s">
        <v>144</v>
      </c>
      <c r="F54" s="189" t="s">
        <v>250</v>
      </c>
      <c r="G54" s="663" t="s">
        <v>1814</v>
      </c>
    </row>
    <row r="55" spans="2:7" ht="13">
      <c r="B55" s="189">
        <v>53</v>
      </c>
      <c r="C55" s="189" t="s">
        <v>1044</v>
      </c>
      <c r="D55" s="189" t="s">
        <v>161</v>
      </c>
      <c r="E55" s="189" t="s">
        <v>174</v>
      </c>
      <c r="F55" s="189" t="s">
        <v>1045</v>
      </c>
      <c r="G55" s="663" t="s">
        <v>1814</v>
      </c>
    </row>
    <row r="56" spans="2:7" ht="13">
      <c r="B56" s="189">
        <v>54</v>
      </c>
      <c r="C56" s="189" t="s">
        <v>1046</v>
      </c>
      <c r="D56" s="189" t="s">
        <v>980</v>
      </c>
      <c r="E56" s="189" t="s">
        <v>174</v>
      </c>
      <c r="F56" s="189" t="s">
        <v>832</v>
      </c>
      <c r="G56" s="663" t="s">
        <v>1814</v>
      </c>
    </row>
    <row r="57" spans="2:7" ht="13">
      <c r="B57" s="189">
        <v>55</v>
      </c>
      <c r="C57" s="189" t="s">
        <v>1047</v>
      </c>
      <c r="D57" s="189" t="s">
        <v>161</v>
      </c>
      <c r="E57" s="189" t="s">
        <v>819</v>
      </c>
      <c r="F57" s="189" t="s">
        <v>571</v>
      </c>
      <c r="G57" s="663" t="s">
        <v>1814</v>
      </c>
    </row>
    <row r="58" spans="2:7" ht="13">
      <c r="B58" s="189">
        <v>56</v>
      </c>
      <c r="C58" s="189" t="s">
        <v>1048</v>
      </c>
      <c r="D58" s="189" t="s">
        <v>411</v>
      </c>
      <c r="E58" s="189" t="s">
        <v>144</v>
      </c>
      <c r="F58" s="189" t="s">
        <v>413</v>
      </c>
      <c r="G58" s="663" t="s">
        <v>1814</v>
      </c>
    </row>
    <row r="59" spans="2:7" ht="13">
      <c r="B59" s="189">
        <v>57</v>
      </c>
      <c r="C59" s="189" t="s">
        <v>1049</v>
      </c>
      <c r="D59" s="189" t="s">
        <v>874</v>
      </c>
      <c r="E59" s="189" t="s">
        <v>144</v>
      </c>
      <c r="F59" s="189" t="s">
        <v>268</v>
      </c>
      <c r="G59" s="663" t="s">
        <v>1814</v>
      </c>
    </row>
    <row r="60" spans="2:7" ht="13">
      <c r="B60" s="189">
        <v>58</v>
      </c>
      <c r="C60" s="189" t="s">
        <v>1050</v>
      </c>
      <c r="D60" s="189" t="s">
        <v>879</v>
      </c>
      <c r="E60" s="189" t="s">
        <v>174</v>
      </c>
      <c r="F60" s="189" t="s">
        <v>823</v>
      </c>
      <c r="G60" s="663" t="s">
        <v>1814</v>
      </c>
    </row>
    <row r="61" spans="2:7" ht="13">
      <c r="B61" s="189">
        <v>59</v>
      </c>
      <c r="C61" s="189" t="s">
        <v>1051</v>
      </c>
      <c r="D61" s="189" t="s">
        <v>971</v>
      </c>
      <c r="E61" s="189" t="s">
        <v>144</v>
      </c>
      <c r="F61" s="189" t="s">
        <v>394</v>
      </c>
      <c r="G61" s="663" t="s">
        <v>1814</v>
      </c>
    </row>
    <row r="62" spans="2:7" ht="13">
      <c r="B62" s="189">
        <v>60</v>
      </c>
      <c r="C62" s="189" t="s">
        <v>1056</v>
      </c>
      <c r="D62" s="189" t="s">
        <v>891</v>
      </c>
      <c r="E62" s="189" t="s">
        <v>174</v>
      </c>
      <c r="F62" s="189" t="s">
        <v>795</v>
      </c>
      <c r="G62" s="663" t="s">
        <v>1814</v>
      </c>
    </row>
    <row r="63" spans="2:7" ht="13">
      <c r="B63" s="189">
        <v>61</v>
      </c>
      <c r="C63" s="189" t="s">
        <v>1057</v>
      </c>
      <c r="D63" s="189" t="s">
        <v>387</v>
      </c>
      <c r="E63" s="189" t="s">
        <v>144</v>
      </c>
      <c r="F63" s="189" t="s">
        <v>324</v>
      </c>
      <c r="G63" s="663" t="s">
        <v>1814</v>
      </c>
    </row>
    <row r="64" spans="2:7" ht="13">
      <c r="B64" s="189">
        <v>62</v>
      </c>
      <c r="C64" s="189" t="s">
        <v>1072</v>
      </c>
      <c r="D64" s="189" t="s">
        <v>440</v>
      </c>
      <c r="E64" s="189" t="s">
        <v>137</v>
      </c>
      <c r="F64" s="189" t="s">
        <v>438</v>
      </c>
      <c r="G64" s="663" t="s">
        <v>1814</v>
      </c>
    </row>
    <row r="65" spans="2:7" ht="13">
      <c r="B65" s="189">
        <v>63</v>
      </c>
      <c r="C65" s="189" t="s">
        <v>1078</v>
      </c>
      <c r="D65" s="189" t="s">
        <v>440</v>
      </c>
      <c r="E65" s="189" t="s">
        <v>137</v>
      </c>
      <c r="F65" s="189" t="s">
        <v>1079</v>
      </c>
      <c r="G65" s="663" t="s">
        <v>1814</v>
      </c>
    </row>
    <row r="66" spans="2:7" ht="13">
      <c r="B66" s="189">
        <v>64</v>
      </c>
      <c r="C66" s="189" t="s">
        <v>1080</v>
      </c>
      <c r="D66" s="189" t="s">
        <v>1076</v>
      </c>
      <c r="E66" s="189" t="s">
        <v>174</v>
      </c>
      <c r="F66" s="189" t="s">
        <v>583</v>
      </c>
      <c r="G66" s="663" t="s">
        <v>1814</v>
      </c>
    </row>
    <row r="67" spans="2:7" ht="13">
      <c r="B67" s="189">
        <v>65</v>
      </c>
      <c r="C67" s="189" t="s">
        <v>1081</v>
      </c>
      <c r="D67" s="189" t="s">
        <v>1076</v>
      </c>
      <c r="E67" s="189" t="s">
        <v>174</v>
      </c>
      <c r="F67" s="189" t="s">
        <v>618</v>
      </c>
      <c r="G67" s="663" t="s">
        <v>1814</v>
      </c>
    </row>
    <row r="68" spans="2:7" ht="13">
      <c r="B68" s="189">
        <v>66</v>
      </c>
      <c r="C68" s="189" t="s">
        <v>56</v>
      </c>
      <c r="D68" s="189" t="s">
        <v>402</v>
      </c>
      <c r="E68" s="189" t="s">
        <v>174</v>
      </c>
      <c r="F68" s="189" t="s">
        <v>1082</v>
      </c>
      <c r="G68" s="663" t="s">
        <v>1814</v>
      </c>
    </row>
    <row r="69" spans="2:7" ht="13">
      <c r="B69" s="189">
        <v>67</v>
      </c>
      <c r="C69" s="189" t="s">
        <v>1085</v>
      </c>
      <c r="D69" s="189" t="s">
        <v>891</v>
      </c>
      <c r="E69" s="189" t="s">
        <v>174</v>
      </c>
      <c r="F69" s="189" t="s">
        <v>799</v>
      </c>
      <c r="G69" s="663" t="s">
        <v>1814</v>
      </c>
    </row>
    <row r="70" spans="2:7" ht="13">
      <c r="B70" s="189">
        <v>68</v>
      </c>
      <c r="C70" s="189" t="s">
        <v>1086</v>
      </c>
      <c r="D70" s="189" t="s">
        <v>879</v>
      </c>
      <c r="E70" s="189" t="s">
        <v>144</v>
      </c>
      <c r="F70" s="189" t="s">
        <v>261</v>
      </c>
      <c r="G70" s="663" t="s">
        <v>1814</v>
      </c>
    </row>
    <row r="71" spans="2:7" ht="13">
      <c r="B71" s="189">
        <v>69</v>
      </c>
      <c r="C71" s="189" t="s">
        <v>1090</v>
      </c>
      <c r="D71" s="189" t="s">
        <v>874</v>
      </c>
      <c r="E71" s="189" t="s">
        <v>144</v>
      </c>
      <c r="F71" s="189" t="s">
        <v>575</v>
      </c>
      <c r="G71" s="663" t="s">
        <v>1814</v>
      </c>
    </row>
    <row r="72" spans="2:7" ht="13">
      <c r="B72" s="189">
        <v>70</v>
      </c>
      <c r="C72" s="189" t="s">
        <v>1091</v>
      </c>
      <c r="D72" s="189" t="s">
        <v>971</v>
      </c>
      <c r="E72" s="189" t="s">
        <v>137</v>
      </c>
      <c r="F72" s="189" t="s">
        <v>424</v>
      </c>
      <c r="G72" s="663" t="s">
        <v>1814</v>
      </c>
    </row>
    <row r="73" spans="2:7" ht="13">
      <c r="B73" s="189">
        <v>71</v>
      </c>
      <c r="C73" s="189" t="s">
        <v>1092</v>
      </c>
      <c r="D73" s="189" t="s">
        <v>1094</v>
      </c>
      <c r="E73" s="189" t="s">
        <v>174</v>
      </c>
      <c r="F73" s="189" t="s">
        <v>1095</v>
      </c>
      <c r="G73" s="663" t="s">
        <v>1814</v>
      </c>
    </row>
    <row r="74" spans="2:7" ht="13">
      <c r="B74" s="189">
        <v>72</v>
      </c>
      <c r="C74" s="189" t="s">
        <v>1096</v>
      </c>
      <c r="D74" s="189" t="s">
        <v>402</v>
      </c>
      <c r="E74" s="189" t="s">
        <v>174</v>
      </c>
      <c r="F74" s="189" t="s">
        <v>384</v>
      </c>
      <c r="G74" s="663" t="s">
        <v>1814</v>
      </c>
    </row>
    <row r="75" spans="2:7" ht="13">
      <c r="B75" s="189">
        <v>73</v>
      </c>
      <c r="C75" s="189" t="s">
        <v>1099</v>
      </c>
      <c r="D75" s="189" t="s">
        <v>879</v>
      </c>
      <c r="E75" s="189" t="s">
        <v>174</v>
      </c>
      <c r="F75" s="189" t="s">
        <v>737</v>
      </c>
      <c r="G75" s="663" t="s">
        <v>1814</v>
      </c>
    </row>
    <row r="76" spans="2:7" ht="13">
      <c r="B76" s="189">
        <v>74</v>
      </c>
      <c r="C76" s="189" t="s">
        <v>1101</v>
      </c>
      <c r="D76" s="189" t="s">
        <v>993</v>
      </c>
      <c r="E76" s="189" t="s">
        <v>209</v>
      </c>
      <c r="F76" s="189" t="s">
        <v>301</v>
      </c>
      <c r="G76" s="663" t="s">
        <v>1814</v>
      </c>
    </row>
    <row r="77" spans="2:7" ht="13">
      <c r="B77" s="189">
        <v>75</v>
      </c>
      <c r="C77" s="189" t="s">
        <v>1102</v>
      </c>
      <c r="D77" s="189" t="s">
        <v>874</v>
      </c>
      <c r="E77" s="189" t="s">
        <v>174</v>
      </c>
      <c r="F77" s="189" t="s">
        <v>525</v>
      </c>
      <c r="G77" s="663" t="s">
        <v>1814</v>
      </c>
    </row>
    <row r="78" spans="2:7" ht="13">
      <c r="B78" s="189">
        <v>76</v>
      </c>
      <c r="C78" s="266" t="s">
        <v>2739</v>
      </c>
      <c r="D78" s="189" t="s">
        <v>879</v>
      </c>
      <c r="E78" s="189" t="s">
        <v>174</v>
      </c>
      <c r="F78" s="189" t="s">
        <v>733</v>
      </c>
      <c r="G78" s="663" t="s">
        <v>1814</v>
      </c>
    </row>
    <row r="79" spans="2:7" ht="13">
      <c r="B79" s="189">
        <v>77</v>
      </c>
      <c r="C79" s="189" t="s">
        <v>1109</v>
      </c>
      <c r="D79" s="189" t="s">
        <v>879</v>
      </c>
      <c r="E79" s="189" t="s">
        <v>174</v>
      </c>
      <c r="F79" s="189" t="s">
        <v>827</v>
      </c>
      <c r="G79" s="663" t="s">
        <v>1814</v>
      </c>
    </row>
    <row r="80" spans="2:7" ht="13">
      <c r="B80" s="189">
        <v>78</v>
      </c>
      <c r="C80" s="189" t="s">
        <v>1110</v>
      </c>
      <c r="D80" s="189" t="s">
        <v>891</v>
      </c>
      <c r="E80" s="189" t="s">
        <v>174</v>
      </c>
      <c r="F80" s="189" t="s">
        <v>811</v>
      </c>
      <c r="G80" s="663" t="s">
        <v>1814</v>
      </c>
    </row>
    <row r="81" spans="2:7" ht="13">
      <c r="B81" s="189">
        <v>79</v>
      </c>
      <c r="C81" s="189" t="s">
        <v>1113</v>
      </c>
      <c r="D81" s="189" t="s">
        <v>387</v>
      </c>
      <c r="E81" s="189" t="s">
        <v>174</v>
      </c>
      <c r="F81" s="189" t="s">
        <v>1114</v>
      </c>
      <c r="G81" s="663" t="s">
        <v>1814</v>
      </c>
    </row>
    <row r="82" spans="2:7" ht="13">
      <c r="B82" s="189">
        <v>80</v>
      </c>
      <c r="C82" s="189" t="s">
        <v>1115</v>
      </c>
      <c r="D82" s="189" t="s">
        <v>402</v>
      </c>
      <c r="E82" s="189" t="s">
        <v>209</v>
      </c>
      <c r="F82" s="189" t="s">
        <v>1117</v>
      </c>
      <c r="G82" s="663" t="s">
        <v>1814</v>
      </c>
    </row>
    <row r="83" spans="2:7" ht="13">
      <c r="B83" s="189">
        <v>81</v>
      </c>
      <c r="C83" s="189" t="s">
        <v>1121</v>
      </c>
      <c r="D83" s="189" t="s">
        <v>161</v>
      </c>
      <c r="E83" s="189" t="s">
        <v>209</v>
      </c>
      <c r="F83" s="189" t="s">
        <v>1123</v>
      </c>
      <c r="G83" s="663" t="s">
        <v>1814</v>
      </c>
    </row>
    <row r="84" spans="2:7" ht="13">
      <c r="B84" s="189">
        <v>82</v>
      </c>
      <c r="C84" s="189" t="s">
        <v>1126</v>
      </c>
      <c r="D84" s="189" t="s">
        <v>879</v>
      </c>
      <c r="E84" s="189" t="s">
        <v>174</v>
      </c>
      <c r="F84" s="189" t="s">
        <v>728</v>
      </c>
      <c r="G84" s="663" t="s">
        <v>1814</v>
      </c>
    </row>
    <row r="85" spans="2:7" ht="13">
      <c r="B85" s="189">
        <v>83</v>
      </c>
      <c r="C85" s="189" t="s">
        <v>1129</v>
      </c>
      <c r="D85" s="189" t="s">
        <v>891</v>
      </c>
      <c r="E85" s="189" t="s">
        <v>209</v>
      </c>
      <c r="F85" s="189" t="s">
        <v>1130</v>
      </c>
      <c r="G85" s="663" t="s">
        <v>1814</v>
      </c>
    </row>
    <row r="86" spans="2:7" ht="13">
      <c r="B86" s="189">
        <v>84</v>
      </c>
      <c r="C86" s="189" t="s">
        <v>1131</v>
      </c>
      <c r="D86" s="189" t="s">
        <v>879</v>
      </c>
      <c r="E86" s="189" t="s">
        <v>174</v>
      </c>
      <c r="F86" s="189" t="s">
        <v>803</v>
      </c>
      <c r="G86" s="663" t="s">
        <v>1814</v>
      </c>
    </row>
    <row r="87" spans="2:7" ht="13">
      <c r="B87" s="189">
        <v>85</v>
      </c>
      <c r="C87" s="189" t="s">
        <v>1133</v>
      </c>
      <c r="D87" s="189" t="s">
        <v>402</v>
      </c>
      <c r="E87" s="189" t="s">
        <v>144</v>
      </c>
      <c r="F87" s="189" t="s">
        <v>847</v>
      </c>
      <c r="G87" s="663" t="s">
        <v>1814</v>
      </c>
    </row>
    <row r="88" spans="2:7" ht="13">
      <c r="B88" s="189">
        <v>86</v>
      </c>
      <c r="C88" s="189" t="s">
        <v>1134</v>
      </c>
      <c r="D88" s="189" t="s">
        <v>402</v>
      </c>
      <c r="E88" s="189" t="s">
        <v>174</v>
      </c>
      <c r="F88" s="189" t="s">
        <v>579</v>
      </c>
      <c r="G88" s="663" t="s">
        <v>1814</v>
      </c>
    </row>
    <row r="89" spans="2:7" ht="13">
      <c r="B89" s="189">
        <v>87</v>
      </c>
      <c r="C89" s="189" t="s">
        <v>1135</v>
      </c>
      <c r="D89" s="189" t="s">
        <v>402</v>
      </c>
      <c r="E89" s="189" t="s">
        <v>209</v>
      </c>
      <c r="F89" s="189" t="s">
        <v>1137</v>
      </c>
      <c r="G89" s="663" t="s">
        <v>1814</v>
      </c>
    </row>
    <row r="90" spans="2:7" ht="13">
      <c r="B90" s="189">
        <v>88</v>
      </c>
      <c r="C90" s="189" t="s">
        <v>1140</v>
      </c>
      <c r="D90" s="189" t="s">
        <v>971</v>
      </c>
      <c r="E90" s="189" t="s">
        <v>144</v>
      </c>
      <c r="F90" s="189" t="s">
        <v>1141</v>
      </c>
      <c r="G90" s="663" t="s">
        <v>1814</v>
      </c>
    </row>
    <row r="91" spans="2:7" ht="13">
      <c r="B91" s="189">
        <v>89</v>
      </c>
      <c r="C91" s="189" t="s">
        <v>1144</v>
      </c>
      <c r="D91" s="189" t="s">
        <v>161</v>
      </c>
      <c r="E91" s="189" t="s">
        <v>209</v>
      </c>
      <c r="F91" s="189" t="s">
        <v>1145</v>
      </c>
      <c r="G91" s="663" t="s">
        <v>1814</v>
      </c>
    </row>
    <row r="92" spans="2:7" ht="13">
      <c r="B92" s="189">
        <v>90</v>
      </c>
      <c r="C92" s="189" t="s">
        <v>1146</v>
      </c>
      <c r="D92" s="189" t="s">
        <v>1039</v>
      </c>
      <c r="E92" s="189" t="s">
        <v>174</v>
      </c>
      <c r="F92" s="665" t="s">
        <v>780</v>
      </c>
      <c r="G92" s="663" t="s">
        <v>1814</v>
      </c>
    </row>
    <row r="93" spans="2:7" ht="13">
      <c r="B93" s="189">
        <v>91</v>
      </c>
      <c r="C93" s="189" t="s">
        <v>1147</v>
      </c>
      <c r="D93" s="189" t="s">
        <v>387</v>
      </c>
      <c r="E93" s="189" t="s">
        <v>174</v>
      </c>
      <c r="F93" s="665" t="s">
        <v>752</v>
      </c>
      <c r="G93" s="663" t="s">
        <v>1814</v>
      </c>
    </row>
    <row r="94" spans="2:7" ht="13">
      <c r="B94" s="189">
        <v>92</v>
      </c>
      <c r="C94" s="189" t="s">
        <v>1153</v>
      </c>
      <c r="D94" s="189" t="s">
        <v>985</v>
      </c>
      <c r="E94" s="189" t="s">
        <v>144</v>
      </c>
      <c r="F94" s="189" t="s">
        <v>1155</v>
      </c>
      <c r="G94" s="663" t="s">
        <v>1814</v>
      </c>
    </row>
    <row r="95" spans="2:7" ht="13">
      <c r="B95" s="189">
        <v>93</v>
      </c>
      <c r="C95" s="189" t="s">
        <v>1156</v>
      </c>
      <c r="D95" s="189" t="s">
        <v>348</v>
      </c>
      <c r="E95" s="189" t="s">
        <v>209</v>
      </c>
      <c r="F95" s="189" t="s">
        <v>1158</v>
      </c>
      <c r="G95" s="663" t="s">
        <v>1814</v>
      </c>
    </row>
    <row r="96" spans="2:7" ht="13">
      <c r="B96" s="189">
        <v>94</v>
      </c>
      <c r="C96" s="189" t="s">
        <v>1163</v>
      </c>
      <c r="D96" s="189" t="s">
        <v>1165</v>
      </c>
      <c r="E96" s="189" t="s">
        <v>209</v>
      </c>
      <c r="F96" s="189" t="s">
        <v>1166</v>
      </c>
      <c r="G96" s="663" t="s">
        <v>1814</v>
      </c>
    </row>
    <row r="97" spans="2:7" ht="13">
      <c r="B97" s="189">
        <v>95</v>
      </c>
      <c r="C97" s="189" t="s">
        <v>1167</v>
      </c>
      <c r="D97" s="189" t="s">
        <v>402</v>
      </c>
      <c r="E97" s="189" t="s">
        <v>209</v>
      </c>
      <c r="F97" s="189" t="s">
        <v>1168</v>
      </c>
      <c r="G97" s="663" t="s">
        <v>1814</v>
      </c>
    </row>
    <row r="98" spans="2:7" ht="13">
      <c r="B98" s="189">
        <v>96</v>
      </c>
      <c r="C98" s="189" t="s">
        <v>1170</v>
      </c>
      <c r="D98" s="189" t="s">
        <v>888</v>
      </c>
      <c r="E98" s="189" t="s">
        <v>174</v>
      </c>
      <c r="F98" s="189" t="s">
        <v>640</v>
      </c>
      <c r="G98" s="663" t="s">
        <v>1814</v>
      </c>
    </row>
    <row r="99" spans="2:7" ht="13">
      <c r="B99" s="189">
        <v>97</v>
      </c>
      <c r="C99" s="189" t="s">
        <v>1171</v>
      </c>
      <c r="D99" s="189" t="s">
        <v>1173</v>
      </c>
      <c r="E99" s="189" t="s">
        <v>174</v>
      </c>
      <c r="F99" s="189" t="s">
        <v>199</v>
      </c>
      <c r="G99" s="663" t="s">
        <v>1814</v>
      </c>
    </row>
    <row r="100" spans="2:7" ht="13">
      <c r="B100" s="189">
        <v>98</v>
      </c>
      <c r="C100" s="189" t="s">
        <v>1174</v>
      </c>
      <c r="D100" s="189" t="s">
        <v>402</v>
      </c>
      <c r="E100" s="189" t="s">
        <v>174</v>
      </c>
      <c r="F100" s="189" t="s">
        <v>1176</v>
      </c>
      <c r="G100" s="663" t="s">
        <v>1814</v>
      </c>
    </row>
    <row r="101" spans="2:7" ht="13">
      <c r="B101" s="189">
        <v>99</v>
      </c>
      <c r="C101" s="189" t="s">
        <v>1179</v>
      </c>
      <c r="D101" s="189" t="s">
        <v>402</v>
      </c>
      <c r="E101" s="189" t="s">
        <v>209</v>
      </c>
      <c r="F101" s="189" t="s">
        <v>1180</v>
      </c>
      <c r="G101" s="663" t="s">
        <v>1814</v>
      </c>
    </row>
    <row r="102" spans="2:7" ht="13">
      <c r="B102" s="189">
        <v>100</v>
      </c>
      <c r="C102" s="189" t="s">
        <v>114</v>
      </c>
      <c r="D102" s="189" t="s">
        <v>161</v>
      </c>
      <c r="E102" s="189" t="s">
        <v>209</v>
      </c>
      <c r="F102" s="189" t="s">
        <v>1181</v>
      </c>
      <c r="G102" s="663" t="s">
        <v>1814</v>
      </c>
    </row>
    <row r="103" spans="2:7" ht="13">
      <c r="B103" s="189">
        <v>101</v>
      </c>
      <c r="C103" s="189" t="s">
        <v>1182</v>
      </c>
      <c r="D103" s="189" t="s">
        <v>930</v>
      </c>
      <c r="E103" s="189" t="s">
        <v>209</v>
      </c>
      <c r="F103" s="665" t="s">
        <v>477</v>
      </c>
      <c r="G103" s="663" t="s">
        <v>1814</v>
      </c>
    </row>
    <row r="104" spans="2:7" ht="13">
      <c r="B104" s="189">
        <v>102</v>
      </c>
      <c r="C104" s="189" t="s">
        <v>1184</v>
      </c>
      <c r="D104" s="189" t="s">
        <v>879</v>
      </c>
      <c r="E104" s="189" t="s">
        <v>174</v>
      </c>
      <c r="F104" s="665" t="s">
        <v>539</v>
      </c>
      <c r="G104" s="663" t="s">
        <v>1814</v>
      </c>
    </row>
    <row r="105" spans="2:7" ht="13">
      <c r="B105" s="189">
        <v>103</v>
      </c>
      <c r="C105" s="189" t="s">
        <v>1195</v>
      </c>
      <c r="D105" s="189" t="s">
        <v>161</v>
      </c>
      <c r="E105" s="189" t="s">
        <v>209</v>
      </c>
      <c r="F105" s="189" t="s">
        <v>1196</v>
      </c>
      <c r="G105" s="663" t="s">
        <v>1814</v>
      </c>
    </row>
    <row r="106" spans="2:7" ht="13">
      <c r="B106" s="189">
        <v>104</v>
      </c>
      <c r="C106" s="189" t="s">
        <v>1199</v>
      </c>
      <c r="D106" s="189" t="s">
        <v>993</v>
      </c>
      <c r="E106" s="189" t="s">
        <v>174</v>
      </c>
      <c r="F106" s="189" t="s">
        <v>70</v>
      </c>
      <c r="G106" s="663" t="s">
        <v>1814</v>
      </c>
    </row>
    <row r="107" spans="2:7" ht="13">
      <c r="B107" s="189">
        <v>105</v>
      </c>
      <c r="C107" s="189" t="s">
        <v>1200</v>
      </c>
      <c r="D107" s="189" t="s">
        <v>1014</v>
      </c>
      <c r="E107" s="189" t="s">
        <v>137</v>
      </c>
      <c r="F107" s="189" t="s">
        <v>418</v>
      </c>
      <c r="G107" s="663" t="s">
        <v>1814</v>
      </c>
    </row>
    <row r="108" spans="2:7" ht="13">
      <c r="B108" s="189">
        <v>106</v>
      </c>
      <c r="C108" s="189" t="s">
        <v>1201</v>
      </c>
      <c r="D108" s="189" t="s">
        <v>879</v>
      </c>
      <c r="E108" s="189" t="s">
        <v>137</v>
      </c>
      <c r="F108" s="189" t="s">
        <v>429</v>
      </c>
      <c r="G108" s="663" t="s">
        <v>1814</v>
      </c>
    </row>
    <row r="109" spans="2:7" ht="13">
      <c r="B109" s="189">
        <v>107</v>
      </c>
      <c r="C109" s="189" t="s">
        <v>1206</v>
      </c>
      <c r="D109" s="189" t="s">
        <v>996</v>
      </c>
      <c r="E109" s="189" t="s">
        <v>137</v>
      </c>
      <c r="F109" s="665" t="s">
        <v>362</v>
      </c>
      <c r="G109" s="663" t="s">
        <v>1814</v>
      </c>
    </row>
    <row r="110" spans="2:7" ht="13">
      <c r="B110" s="189">
        <v>108</v>
      </c>
      <c r="C110" s="266" t="s">
        <v>2617</v>
      </c>
      <c r="D110" s="266" t="s">
        <v>993</v>
      </c>
      <c r="E110" s="266" t="s">
        <v>2618</v>
      </c>
      <c r="F110" s="189" t="s">
        <v>2505</v>
      </c>
      <c r="G110" s="663" t="s">
        <v>1814</v>
      </c>
    </row>
    <row r="111" spans="2:7" ht="13">
      <c r="B111" s="189">
        <v>109</v>
      </c>
      <c r="C111" s="266" t="s">
        <v>959</v>
      </c>
      <c r="D111" s="266" t="s">
        <v>960</v>
      </c>
      <c r="E111" s="189" t="s">
        <v>137</v>
      </c>
      <c r="F111" s="189" t="s">
        <v>961</v>
      </c>
      <c r="G111" s="663" t="s">
        <v>1814</v>
      </c>
    </row>
    <row r="112" spans="2:7" ht="13">
      <c r="B112" s="189">
        <v>110</v>
      </c>
      <c r="C112" s="266" t="s">
        <v>1142</v>
      </c>
      <c r="D112" s="266" t="s">
        <v>960</v>
      </c>
      <c r="E112" s="189" t="s">
        <v>137</v>
      </c>
      <c r="F112" s="189" t="s">
        <v>1143</v>
      </c>
      <c r="G112" s="663" t="s">
        <v>1814</v>
      </c>
    </row>
    <row r="113" spans="2:7" ht="13">
      <c r="B113" s="189">
        <v>111</v>
      </c>
      <c r="C113" s="189" t="s">
        <v>1366</v>
      </c>
      <c r="D113" s="266" t="s">
        <v>2619</v>
      </c>
      <c r="E113" s="266" t="s">
        <v>137</v>
      </c>
      <c r="F113" s="189" t="s">
        <v>133</v>
      </c>
      <c r="G113" s="668" t="s">
        <v>43</v>
      </c>
    </row>
    <row r="114" spans="2:7" ht="13">
      <c r="B114" s="189">
        <v>112</v>
      </c>
      <c r="C114" s="189" t="s">
        <v>2356</v>
      </c>
      <c r="D114" s="266" t="s">
        <v>142</v>
      </c>
      <c r="E114" s="266" t="s">
        <v>144</v>
      </c>
      <c r="F114" s="189" t="s">
        <v>141</v>
      </c>
      <c r="G114" s="669" t="s">
        <v>2620</v>
      </c>
    </row>
    <row r="115" spans="2:7" ht="13">
      <c r="B115" s="189">
        <v>113</v>
      </c>
      <c r="C115" s="189" t="s">
        <v>2357</v>
      </c>
      <c r="D115" s="266" t="s">
        <v>2621</v>
      </c>
      <c r="E115" s="266" t="s">
        <v>174</v>
      </c>
      <c r="F115" s="189" t="s">
        <v>170</v>
      </c>
      <c r="G115" s="668" t="s">
        <v>43</v>
      </c>
    </row>
    <row r="116" spans="2:7" ht="13">
      <c r="B116" s="189">
        <v>114</v>
      </c>
      <c r="C116" s="189" t="s">
        <v>1485</v>
      </c>
      <c r="D116" s="266" t="s">
        <v>181</v>
      </c>
      <c r="E116" s="266" t="s">
        <v>2618</v>
      </c>
      <c r="F116" s="189" t="s">
        <v>180</v>
      </c>
      <c r="G116" s="668" t="s">
        <v>43</v>
      </c>
    </row>
    <row r="117" spans="2:7" ht="13">
      <c r="B117" s="189">
        <v>115</v>
      </c>
      <c r="C117" s="189" t="s">
        <v>2358</v>
      </c>
      <c r="D117" s="266" t="s">
        <v>220</v>
      </c>
      <c r="E117" s="266" t="s">
        <v>209</v>
      </c>
      <c r="F117" s="189" t="s">
        <v>222</v>
      </c>
      <c r="G117" s="668" t="s">
        <v>43</v>
      </c>
    </row>
    <row r="118" spans="2:7" ht="13">
      <c r="B118" s="189">
        <v>116</v>
      </c>
      <c r="C118" s="189" t="s">
        <v>2359</v>
      </c>
      <c r="D118" s="266" t="s">
        <v>220</v>
      </c>
      <c r="E118" s="266" t="s">
        <v>209</v>
      </c>
      <c r="F118" s="189" t="s">
        <v>375</v>
      </c>
      <c r="G118" s="668" t="s">
        <v>43</v>
      </c>
    </row>
    <row r="119" spans="2:7" ht="13">
      <c r="B119" s="189">
        <v>117</v>
      </c>
      <c r="C119" s="189" t="s">
        <v>2360</v>
      </c>
      <c r="D119" s="266" t="s">
        <v>2621</v>
      </c>
      <c r="E119" s="266" t="s">
        <v>174</v>
      </c>
      <c r="F119" s="189" t="s">
        <v>500</v>
      </c>
      <c r="G119" s="668" t="s">
        <v>43</v>
      </c>
    </row>
    <row r="120" spans="2:7" ht="13">
      <c r="B120" s="189">
        <v>118</v>
      </c>
      <c r="C120" s="189" t="s">
        <v>2361</v>
      </c>
      <c r="D120" s="266" t="s">
        <v>2619</v>
      </c>
      <c r="E120" s="266" t="s">
        <v>137</v>
      </c>
      <c r="F120" s="189" t="s">
        <v>2590</v>
      </c>
      <c r="G120" s="668" t="s">
        <v>43</v>
      </c>
    </row>
    <row r="121" spans="2:7" ht="13">
      <c r="B121" s="189">
        <v>119</v>
      </c>
      <c r="C121" s="189" t="s">
        <v>2362</v>
      </c>
      <c r="D121" s="266" t="s">
        <v>2619</v>
      </c>
      <c r="E121" s="266" t="s">
        <v>137</v>
      </c>
      <c r="F121" s="189" t="s">
        <v>1495</v>
      </c>
      <c r="G121" s="668" t="s">
        <v>43</v>
      </c>
    </row>
    <row r="122" spans="2:7" ht="13">
      <c r="B122" s="189">
        <v>120</v>
      </c>
      <c r="C122" s="189" t="s">
        <v>2363</v>
      </c>
      <c r="D122" s="266" t="s">
        <v>220</v>
      </c>
      <c r="E122" s="266" t="s">
        <v>209</v>
      </c>
      <c r="F122" s="189" t="s">
        <v>1531</v>
      </c>
      <c r="G122" s="668" t="s">
        <v>43</v>
      </c>
    </row>
    <row r="123" spans="2:7" ht="13">
      <c r="B123" s="189">
        <v>121</v>
      </c>
      <c r="C123" s="189" t="s">
        <v>2364</v>
      </c>
      <c r="D123" s="266" t="s">
        <v>220</v>
      </c>
      <c r="E123" s="266" t="s">
        <v>209</v>
      </c>
      <c r="F123" s="189" t="s">
        <v>1534</v>
      </c>
      <c r="G123" s="668" t="s">
        <v>43</v>
      </c>
    </row>
    <row r="124" spans="2:7" ht="13">
      <c r="B124" s="189">
        <v>122</v>
      </c>
      <c r="C124" s="189" t="s">
        <v>2365</v>
      </c>
      <c r="D124" s="266" t="s">
        <v>220</v>
      </c>
      <c r="E124" s="266" t="s">
        <v>209</v>
      </c>
      <c r="F124" s="189" t="s">
        <v>1578</v>
      </c>
      <c r="G124" s="668" t="s">
        <v>43</v>
      </c>
    </row>
    <row r="125" spans="2:7" ht="13">
      <c r="B125" s="189">
        <v>123</v>
      </c>
      <c r="C125" s="189" t="s">
        <v>2366</v>
      </c>
      <c r="D125" s="266" t="s">
        <v>181</v>
      </c>
      <c r="E125" s="266" t="s">
        <v>2618</v>
      </c>
      <c r="F125" s="189" t="s">
        <v>2587</v>
      </c>
      <c r="G125" s="668" t="s">
        <v>43</v>
      </c>
    </row>
    <row r="126" spans="2:7" ht="13">
      <c r="B126" s="189">
        <v>124</v>
      </c>
      <c r="C126" s="189" t="s">
        <v>2367</v>
      </c>
      <c r="D126" s="266" t="s">
        <v>142</v>
      </c>
      <c r="E126" s="266" t="s">
        <v>144</v>
      </c>
      <c r="F126" s="189" t="s">
        <v>2285</v>
      </c>
      <c r="G126" s="668" t="s">
        <v>43</v>
      </c>
    </row>
    <row r="127" spans="2:7" ht="13">
      <c r="B127" s="189">
        <v>125</v>
      </c>
      <c r="C127" s="189" t="s">
        <v>2584</v>
      </c>
      <c r="D127" s="266" t="s">
        <v>220</v>
      </c>
      <c r="E127" s="266" t="s">
        <v>209</v>
      </c>
      <c r="F127" s="189" t="s">
        <v>186</v>
      </c>
      <c r="G127" s="668" t="s">
        <v>43</v>
      </c>
    </row>
    <row r="128" spans="2:7" ht="13">
      <c r="B128" s="189">
        <v>126</v>
      </c>
      <c r="C128" s="189" t="s">
        <v>2585</v>
      </c>
      <c r="D128" s="266" t="s">
        <v>142</v>
      </c>
      <c r="E128" s="266" t="s">
        <v>144</v>
      </c>
      <c r="F128" s="189" t="s">
        <v>2506</v>
      </c>
      <c r="G128" s="668" t="s">
        <v>43</v>
      </c>
    </row>
    <row r="129" spans="2:7" ht="13">
      <c r="B129" s="189">
        <v>127</v>
      </c>
      <c r="C129" s="189" t="s">
        <v>2256</v>
      </c>
      <c r="D129" s="266" t="s">
        <v>2621</v>
      </c>
      <c r="E129" s="266" t="s">
        <v>174</v>
      </c>
      <c r="F129" s="189" t="s">
        <v>2259</v>
      </c>
      <c r="G129" s="668" t="s">
        <v>43</v>
      </c>
    </row>
    <row r="130" spans="2:7" ht="14.5">
      <c r="B130" s="189">
        <v>128</v>
      </c>
      <c r="C130" s="266" t="s">
        <v>57</v>
      </c>
      <c r="D130" s="266" t="s">
        <v>2621</v>
      </c>
      <c r="E130" s="266" t="s">
        <v>174</v>
      </c>
      <c r="F130" s="666" t="s">
        <v>58</v>
      </c>
      <c r="G130" s="670" t="s">
        <v>1846</v>
      </c>
    </row>
    <row r="131" spans="2:7" ht="13">
      <c r="B131" s="189">
        <v>129</v>
      </c>
      <c r="C131" s="266" t="s">
        <v>59</v>
      </c>
      <c r="D131" s="266" t="s">
        <v>2621</v>
      </c>
      <c r="E131" s="266" t="s">
        <v>174</v>
      </c>
      <c r="F131" s="189" t="s">
        <v>60</v>
      </c>
      <c r="G131" s="670" t="s">
        <v>1846</v>
      </c>
    </row>
    <row r="132" spans="2:7" ht="13">
      <c r="B132" s="189">
        <v>130</v>
      </c>
      <c r="C132" s="266" t="s">
        <v>64</v>
      </c>
      <c r="D132" s="266" t="s">
        <v>2621</v>
      </c>
      <c r="E132" s="266" t="s">
        <v>174</v>
      </c>
      <c r="F132" s="665" t="s">
        <v>65</v>
      </c>
      <c r="G132" s="670" t="s">
        <v>1846</v>
      </c>
    </row>
    <row r="133" spans="2:7" ht="13">
      <c r="B133" s="189">
        <v>131</v>
      </c>
      <c r="C133" s="266" t="s">
        <v>2622</v>
      </c>
      <c r="D133" s="266" t="s">
        <v>2621</v>
      </c>
      <c r="E133" s="266" t="s">
        <v>174</v>
      </c>
      <c r="F133" s="189" t="s">
        <v>1442</v>
      </c>
      <c r="G133" s="670" t="s">
        <v>1846</v>
      </c>
    </row>
    <row r="134" spans="2:7" ht="13">
      <c r="B134" s="189">
        <v>132</v>
      </c>
      <c r="C134" s="266" t="s">
        <v>2623</v>
      </c>
      <c r="D134" s="266" t="s">
        <v>2621</v>
      </c>
      <c r="E134" s="266" t="s">
        <v>174</v>
      </c>
      <c r="F134" s="189" t="s">
        <v>1427</v>
      </c>
      <c r="G134" s="670" t="s">
        <v>1846</v>
      </c>
    </row>
    <row r="135" spans="2:7" ht="13">
      <c r="B135" s="189">
        <v>133</v>
      </c>
      <c r="C135" s="266" t="s">
        <v>2624</v>
      </c>
      <c r="D135" s="266" t="s">
        <v>2621</v>
      </c>
      <c r="E135" s="266" t="s">
        <v>174</v>
      </c>
      <c r="F135" s="189" t="s">
        <v>1432</v>
      </c>
      <c r="G135" s="670" t="s">
        <v>1846</v>
      </c>
    </row>
    <row r="136" spans="2:7" ht="13">
      <c r="B136" s="189">
        <v>134</v>
      </c>
      <c r="C136" s="266" t="s">
        <v>2625</v>
      </c>
      <c r="D136" s="266" t="s">
        <v>2621</v>
      </c>
      <c r="E136" s="266" t="s">
        <v>174</v>
      </c>
      <c r="F136" s="189" t="s">
        <v>1886</v>
      </c>
      <c r="G136" s="670" t="s">
        <v>1846</v>
      </c>
    </row>
    <row r="137" spans="2:7" ht="13">
      <c r="B137" s="189">
        <v>135</v>
      </c>
      <c r="C137" s="266" t="s">
        <v>2626</v>
      </c>
      <c r="D137" s="266" t="s">
        <v>2621</v>
      </c>
      <c r="E137" s="266" t="s">
        <v>174</v>
      </c>
      <c r="F137" s="189" t="s">
        <v>1890</v>
      </c>
      <c r="G137" s="670" t="s">
        <v>1846</v>
      </c>
    </row>
    <row r="138" spans="2:7" ht="13">
      <c r="B138" s="189">
        <v>136</v>
      </c>
      <c r="C138" s="266" t="s">
        <v>2627</v>
      </c>
      <c r="D138" s="266" t="s">
        <v>1556</v>
      </c>
      <c r="E138" s="266" t="s">
        <v>1447</v>
      </c>
      <c r="F138" s="665" t="s">
        <v>1559</v>
      </c>
      <c r="G138" s="670" t="s">
        <v>1846</v>
      </c>
    </row>
    <row r="139" spans="2:7" ht="13">
      <c r="B139" s="189">
        <v>137</v>
      </c>
      <c r="C139" s="266" t="s">
        <v>2628</v>
      </c>
      <c r="D139" s="266" t="s">
        <v>1556</v>
      </c>
      <c r="E139" s="266" t="s">
        <v>1447</v>
      </c>
      <c r="F139" s="189" t="s">
        <v>1562</v>
      </c>
      <c r="G139" s="670" t="s">
        <v>1846</v>
      </c>
    </row>
    <row r="140" spans="2:7" ht="13">
      <c r="B140" s="189">
        <v>138</v>
      </c>
      <c r="C140" s="266" t="s">
        <v>2629</v>
      </c>
      <c r="D140" s="266" t="s">
        <v>1448</v>
      </c>
      <c r="E140" s="266" t="s">
        <v>1447</v>
      </c>
      <c r="F140" s="189" t="s">
        <v>1451</v>
      </c>
      <c r="G140" s="670" t="s">
        <v>1846</v>
      </c>
    </row>
    <row r="141" spans="2:7" ht="13">
      <c r="B141" s="189">
        <v>139</v>
      </c>
      <c r="C141" s="266" t="s">
        <v>2630</v>
      </c>
      <c r="D141" s="266" t="s">
        <v>1448</v>
      </c>
      <c r="E141" s="266" t="s">
        <v>1447</v>
      </c>
      <c r="F141" s="189" t="s">
        <v>1454</v>
      </c>
      <c r="G141" s="670" t="s">
        <v>1846</v>
      </c>
    </row>
    <row r="142" spans="2:7" ht="13">
      <c r="B142" s="189">
        <v>140</v>
      </c>
      <c r="C142" s="189" t="s">
        <v>2632</v>
      </c>
      <c r="D142" s="189" t="s">
        <v>1459</v>
      </c>
      <c r="E142" s="266" t="s">
        <v>1447</v>
      </c>
      <c r="F142" s="189" t="s">
        <v>1462</v>
      </c>
      <c r="G142" s="670" t="s">
        <v>1846</v>
      </c>
    </row>
    <row r="143" spans="2:7" ht="13">
      <c r="B143" s="189">
        <v>141</v>
      </c>
      <c r="C143" s="189" t="s">
        <v>2633</v>
      </c>
      <c r="D143" s="189" t="s">
        <v>1459</v>
      </c>
      <c r="E143" s="266" t="s">
        <v>1447</v>
      </c>
      <c r="F143" s="189" t="s">
        <v>1466</v>
      </c>
      <c r="G143" s="670" t="s">
        <v>1846</v>
      </c>
    </row>
    <row r="144" spans="2:7" ht="13">
      <c r="B144" s="189">
        <v>142</v>
      </c>
      <c r="C144" s="189" t="s">
        <v>2634</v>
      </c>
      <c r="D144" s="189" t="s">
        <v>2635</v>
      </c>
      <c r="E144" s="266" t="s">
        <v>1447</v>
      </c>
      <c r="F144" s="189"/>
      <c r="G144" s="670" t="s">
        <v>1846</v>
      </c>
    </row>
    <row r="145" spans="2:7" ht="13">
      <c r="B145" s="189">
        <v>143</v>
      </c>
      <c r="C145" s="189" t="s">
        <v>2592</v>
      </c>
      <c r="D145" s="189" t="s">
        <v>2635</v>
      </c>
      <c r="E145" s="266" t="s">
        <v>1447</v>
      </c>
      <c r="F145" s="189"/>
      <c r="G145" s="670" t="s">
        <v>1846</v>
      </c>
    </row>
    <row r="146" spans="2:7" ht="13">
      <c r="B146" s="189">
        <v>144</v>
      </c>
      <c r="C146" s="189" t="s">
        <v>2636</v>
      </c>
      <c r="D146" s="189" t="s">
        <v>2637</v>
      </c>
      <c r="E146" s="266" t="s">
        <v>1447</v>
      </c>
      <c r="F146" s="189" t="s">
        <v>2330</v>
      </c>
      <c r="G146" s="670" t="s">
        <v>1846</v>
      </c>
    </row>
    <row r="147" spans="2:7" ht="13">
      <c r="B147" s="189">
        <v>145</v>
      </c>
      <c r="C147" s="189" t="s">
        <v>2638</v>
      </c>
      <c r="D147" s="189" t="s">
        <v>2637</v>
      </c>
      <c r="E147" s="266" t="s">
        <v>1447</v>
      </c>
      <c r="F147" s="189" t="s">
        <v>2334</v>
      </c>
      <c r="G147" s="670" t="s">
        <v>1846</v>
      </c>
    </row>
    <row r="148" spans="2:7" ht="13">
      <c r="B148" s="189">
        <v>146</v>
      </c>
      <c r="C148" s="189" t="s">
        <v>2639</v>
      </c>
      <c r="D148" s="189" t="s">
        <v>2519</v>
      </c>
      <c r="E148" s="266" t="s">
        <v>137</v>
      </c>
      <c r="F148" s="189" t="s">
        <v>2384</v>
      </c>
      <c r="G148" s="670" t="s">
        <v>1846</v>
      </c>
    </row>
    <row r="149" spans="2:7" ht="13">
      <c r="B149" s="189">
        <v>147</v>
      </c>
      <c r="C149" s="189" t="s">
        <v>2502</v>
      </c>
      <c r="D149" s="189" t="s">
        <v>2519</v>
      </c>
      <c r="E149" s="266" t="s">
        <v>137</v>
      </c>
      <c r="F149" s="189" t="s">
        <v>2386</v>
      </c>
      <c r="G149" s="670" t="s">
        <v>1846</v>
      </c>
    </row>
    <row r="150" spans="2:7" ht="13">
      <c r="B150" s="189">
        <v>148</v>
      </c>
      <c r="C150" s="189" t="s">
        <v>2640</v>
      </c>
      <c r="D150" s="189" t="s">
        <v>135</v>
      </c>
      <c r="E150" s="266" t="s">
        <v>137</v>
      </c>
      <c r="F150" s="189" t="s">
        <v>1734</v>
      </c>
      <c r="G150" s="670" t="s">
        <v>1846</v>
      </c>
    </row>
    <row r="151" spans="2:7" ht="13">
      <c r="B151" s="189">
        <v>149</v>
      </c>
      <c r="C151" s="189" t="s">
        <v>2641</v>
      </c>
      <c r="D151" s="189" t="s">
        <v>135</v>
      </c>
      <c r="E151" s="266" t="s">
        <v>137</v>
      </c>
      <c r="F151" s="189" t="s">
        <v>1747</v>
      </c>
      <c r="G151" s="670" t="s">
        <v>1846</v>
      </c>
    </row>
    <row r="152" spans="2:7" ht="12.5" customHeight="1">
      <c r="B152" s="189">
        <v>150</v>
      </c>
      <c r="C152" s="189" t="s">
        <v>2642</v>
      </c>
      <c r="D152" s="189" t="s">
        <v>135</v>
      </c>
      <c r="E152" s="266" t="s">
        <v>137</v>
      </c>
      <c r="F152" s="189" t="s">
        <v>1663</v>
      </c>
      <c r="G152" s="670" t="s">
        <v>1846</v>
      </c>
    </row>
    <row r="153" spans="2:7" ht="12.5" customHeight="1">
      <c r="B153" s="189">
        <v>151</v>
      </c>
      <c r="C153" s="189" t="s">
        <v>2643</v>
      </c>
      <c r="D153" s="189" t="s">
        <v>135</v>
      </c>
      <c r="E153" s="266" t="s">
        <v>137</v>
      </c>
      <c r="F153" s="189"/>
      <c r="G153" s="670" t="s">
        <v>1846</v>
      </c>
    </row>
    <row r="154" spans="2:7" ht="13">
      <c r="B154" s="189">
        <v>152</v>
      </c>
      <c r="C154" s="189" t="s">
        <v>2645</v>
      </c>
      <c r="D154" s="189" t="s">
        <v>135</v>
      </c>
      <c r="E154" s="266" t="s">
        <v>137</v>
      </c>
      <c r="F154" s="189" t="s">
        <v>2644</v>
      </c>
      <c r="G154" s="670" t="s">
        <v>1846</v>
      </c>
    </row>
    <row r="155" spans="2:7" ht="13">
      <c r="B155" s="189">
        <v>153</v>
      </c>
      <c r="C155" s="189" t="s">
        <v>87</v>
      </c>
      <c r="D155" s="189" t="s">
        <v>135</v>
      </c>
      <c r="E155" s="266" t="s">
        <v>137</v>
      </c>
      <c r="F155" s="189" t="s">
        <v>88</v>
      </c>
      <c r="G155" s="670" t="s">
        <v>1846</v>
      </c>
    </row>
    <row r="156" spans="2:7" ht="13">
      <c r="B156" s="189">
        <v>154</v>
      </c>
      <c r="C156" s="189" t="s">
        <v>2646</v>
      </c>
      <c r="D156" s="189" t="s">
        <v>2533</v>
      </c>
      <c r="E156" s="266" t="s">
        <v>137</v>
      </c>
      <c r="F156" s="189" t="s">
        <v>2385</v>
      </c>
      <c r="G156" s="670" t="s">
        <v>1846</v>
      </c>
    </row>
    <row r="157" spans="2:7" ht="13">
      <c r="B157" s="189">
        <v>155</v>
      </c>
      <c r="C157" s="189" t="s">
        <v>2647</v>
      </c>
      <c r="D157" s="189" t="s">
        <v>2533</v>
      </c>
      <c r="E157" s="266" t="s">
        <v>137</v>
      </c>
      <c r="F157" s="189" t="s">
        <v>2387</v>
      </c>
      <c r="G157" s="670" t="s">
        <v>1846</v>
      </c>
    </row>
    <row r="158" spans="2:7" ht="13">
      <c r="B158" s="189">
        <v>156</v>
      </c>
      <c r="C158" s="189" t="s">
        <v>2648</v>
      </c>
      <c r="D158" s="189" t="s">
        <v>142</v>
      </c>
      <c r="E158" s="266" t="s">
        <v>144</v>
      </c>
      <c r="F158" s="189" t="s">
        <v>1593</v>
      </c>
      <c r="G158" s="670" t="s">
        <v>1846</v>
      </c>
    </row>
    <row r="159" spans="2:7" ht="13">
      <c r="B159" s="189">
        <v>157</v>
      </c>
      <c r="C159" s="189" t="s">
        <v>1573</v>
      </c>
      <c r="D159" s="189" t="s">
        <v>142</v>
      </c>
      <c r="E159" s="266" t="s">
        <v>144</v>
      </c>
      <c r="F159" s="189" t="s">
        <v>1574</v>
      </c>
      <c r="G159" s="670" t="s">
        <v>1846</v>
      </c>
    </row>
    <row r="160" spans="2:7" ht="13">
      <c r="B160" s="189">
        <v>158</v>
      </c>
      <c r="C160" s="189" t="s">
        <v>2649</v>
      </c>
      <c r="D160" s="189" t="s">
        <v>142</v>
      </c>
      <c r="E160" s="266" t="s">
        <v>144</v>
      </c>
      <c r="F160" s="189" t="s">
        <v>2392</v>
      </c>
      <c r="G160" s="670" t="s">
        <v>1846</v>
      </c>
    </row>
    <row r="161" spans="2:7" ht="13">
      <c r="B161" s="189">
        <v>159</v>
      </c>
      <c r="C161" s="189" t="s">
        <v>1792</v>
      </c>
      <c r="D161" s="189" t="s">
        <v>142</v>
      </c>
      <c r="E161" s="266" t="s">
        <v>144</v>
      </c>
      <c r="F161" s="189" t="s">
        <v>658</v>
      </c>
      <c r="G161" s="670" t="s">
        <v>1846</v>
      </c>
    </row>
    <row r="162" spans="2:7" ht="13">
      <c r="B162" s="189">
        <v>160</v>
      </c>
      <c r="C162" s="189" t="s">
        <v>1793</v>
      </c>
      <c r="D162" s="189" t="s">
        <v>142</v>
      </c>
      <c r="E162" s="266" t="s">
        <v>144</v>
      </c>
      <c r="F162" s="189" t="s">
        <v>663</v>
      </c>
      <c r="G162" s="670" t="s">
        <v>1846</v>
      </c>
    </row>
    <row r="163" spans="2:7" ht="13">
      <c r="B163" s="189">
        <v>161</v>
      </c>
      <c r="C163" s="189" t="s">
        <v>2650</v>
      </c>
      <c r="D163" s="189" t="s">
        <v>142</v>
      </c>
      <c r="E163" s="266" t="s">
        <v>144</v>
      </c>
      <c r="F163" s="189" t="s">
        <v>718</v>
      </c>
      <c r="G163" s="670" t="s">
        <v>1846</v>
      </c>
    </row>
    <row r="164" spans="2:7" ht="13">
      <c r="B164" s="189">
        <v>162</v>
      </c>
      <c r="C164" s="189" t="s">
        <v>2651</v>
      </c>
      <c r="D164" s="189" t="s">
        <v>142</v>
      </c>
      <c r="E164" s="266" t="s">
        <v>144</v>
      </c>
      <c r="F164" s="189" t="s">
        <v>738</v>
      </c>
      <c r="G164" s="670" t="s">
        <v>1846</v>
      </c>
    </row>
    <row r="165" spans="2:7" ht="13">
      <c r="B165" s="189">
        <v>163</v>
      </c>
      <c r="C165" s="189" t="s">
        <v>2652</v>
      </c>
      <c r="D165" s="189" t="s">
        <v>2653</v>
      </c>
      <c r="E165" s="266" t="s">
        <v>144</v>
      </c>
      <c r="F165" s="189" t="s">
        <v>2280</v>
      </c>
      <c r="G165" s="670" t="s">
        <v>1846</v>
      </c>
    </row>
    <row r="166" spans="2:7" ht="13">
      <c r="B166" s="189">
        <v>164</v>
      </c>
      <c r="C166" s="189" t="s">
        <v>2654</v>
      </c>
      <c r="D166" s="189" t="s">
        <v>2653</v>
      </c>
      <c r="E166" s="266" t="s">
        <v>144</v>
      </c>
      <c r="F166" s="189" t="s">
        <v>2393</v>
      </c>
      <c r="G166" s="670" t="s">
        <v>1846</v>
      </c>
    </row>
    <row r="167" spans="2:7" ht="13">
      <c r="B167" s="189">
        <v>165</v>
      </c>
      <c r="C167" s="189" t="s">
        <v>76</v>
      </c>
      <c r="D167" s="266" t="s">
        <v>2621</v>
      </c>
      <c r="E167" s="266" t="s">
        <v>174</v>
      </c>
      <c r="F167" s="189" t="s">
        <v>77</v>
      </c>
      <c r="G167" s="671" t="s">
        <v>1847</v>
      </c>
    </row>
    <row r="168" spans="2:7" ht="13">
      <c r="B168" s="189">
        <v>166</v>
      </c>
      <c r="C168" s="189" t="s">
        <v>1498</v>
      </c>
      <c r="D168" s="266" t="s">
        <v>2621</v>
      </c>
      <c r="E168" s="266" t="s">
        <v>174</v>
      </c>
      <c r="F168" s="189" t="s">
        <v>1499</v>
      </c>
      <c r="G168" s="671" t="s">
        <v>1847</v>
      </c>
    </row>
    <row r="169" spans="2:7" ht="13">
      <c r="B169" s="189">
        <v>167</v>
      </c>
      <c r="C169" s="189" t="s">
        <v>1500</v>
      </c>
      <c r="D169" s="266" t="s">
        <v>2621</v>
      </c>
      <c r="E169" s="266" t="s">
        <v>174</v>
      </c>
      <c r="F169" s="189" t="s">
        <v>1501</v>
      </c>
      <c r="G169" s="671" t="s">
        <v>1847</v>
      </c>
    </row>
    <row r="170" spans="2:7" ht="13">
      <c r="B170" s="189">
        <v>168</v>
      </c>
      <c r="C170" s="189" t="s">
        <v>82</v>
      </c>
      <c r="D170" s="266" t="s">
        <v>2621</v>
      </c>
      <c r="E170" s="266" t="s">
        <v>174</v>
      </c>
      <c r="F170" s="189" t="s">
        <v>83</v>
      </c>
      <c r="G170" s="671" t="s">
        <v>1847</v>
      </c>
    </row>
    <row r="171" spans="2:7" ht="13">
      <c r="B171" s="189">
        <v>169</v>
      </c>
      <c r="C171" s="189" t="s">
        <v>1892</v>
      </c>
      <c r="D171" s="266" t="s">
        <v>2621</v>
      </c>
      <c r="E171" s="266" t="s">
        <v>174</v>
      </c>
      <c r="F171" s="189" t="s">
        <v>1893</v>
      </c>
      <c r="G171" s="671" t="s">
        <v>1847</v>
      </c>
    </row>
    <row r="172" spans="2:7" ht="13">
      <c r="B172" s="189">
        <v>170</v>
      </c>
      <c r="C172" s="189" t="s">
        <v>89</v>
      </c>
      <c r="D172" s="266" t="s">
        <v>135</v>
      </c>
      <c r="E172" s="266" t="s">
        <v>137</v>
      </c>
      <c r="F172" s="189" t="s">
        <v>90</v>
      </c>
      <c r="G172" s="671" t="s">
        <v>1847</v>
      </c>
    </row>
    <row r="173" spans="2:7" ht="13">
      <c r="B173" s="189">
        <v>171</v>
      </c>
      <c r="C173" s="189" t="s">
        <v>1568</v>
      </c>
      <c r="D173" s="266" t="s">
        <v>135</v>
      </c>
      <c r="E173" s="266" t="s">
        <v>137</v>
      </c>
      <c r="F173" s="189" t="s">
        <v>1569</v>
      </c>
      <c r="G173" s="671" t="s">
        <v>1847</v>
      </c>
    </row>
    <row r="174" spans="2:7" ht="13">
      <c r="B174" s="189">
        <v>172</v>
      </c>
      <c r="C174" s="189" t="s">
        <v>1570</v>
      </c>
      <c r="D174" s="266" t="s">
        <v>135</v>
      </c>
      <c r="E174" s="266" t="s">
        <v>137</v>
      </c>
      <c r="F174" s="189" t="s">
        <v>828</v>
      </c>
      <c r="G174" s="671" t="s">
        <v>1847</v>
      </c>
    </row>
    <row r="175" spans="2:7" ht="13">
      <c r="B175" s="189">
        <v>173</v>
      </c>
      <c r="C175" s="189" t="s">
        <v>1754</v>
      </c>
      <c r="D175" s="266" t="s">
        <v>135</v>
      </c>
      <c r="E175" s="266" t="s">
        <v>137</v>
      </c>
      <c r="F175" s="189" t="s">
        <v>1737</v>
      </c>
      <c r="G175" s="671" t="s">
        <v>1847</v>
      </c>
    </row>
    <row r="176" spans="2:7" ht="13">
      <c r="B176" s="189">
        <v>174</v>
      </c>
      <c r="C176" s="189" t="s">
        <v>97</v>
      </c>
      <c r="D176" s="266" t="s">
        <v>135</v>
      </c>
      <c r="E176" s="266" t="s">
        <v>137</v>
      </c>
      <c r="F176" s="189" t="s">
        <v>98</v>
      </c>
      <c r="G176" s="671" t="s">
        <v>1847</v>
      </c>
    </row>
    <row r="177" spans="2:7" ht="13">
      <c r="B177" s="189">
        <v>175</v>
      </c>
      <c r="C177" s="189" t="s">
        <v>99</v>
      </c>
      <c r="D177" s="266" t="s">
        <v>135</v>
      </c>
      <c r="E177" s="266" t="s">
        <v>137</v>
      </c>
      <c r="F177" s="189" t="s">
        <v>100</v>
      </c>
      <c r="G177" s="671" t="s">
        <v>1847</v>
      </c>
    </row>
    <row r="178" spans="2:7" ht="13">
      <c r="B178" s="189">
        <v>176</v>
      </c>
      <c r="C178" s="309" t="s">
        <v>2311</v>
      </c>
      <c r="D178" s="266" t="s">
        <v>142</v>
      </c>
      <c r="E178" s="266" t="s">
        <v>144</v>
      </c>
      <c r="F178" s="189" t="s">
        <v>2287</v>
      </c>
      <c r="G178" s="671" t="s">
        <v>1847</v>
      </c>
    </row>
    <row r="179" spans="2:7" ht="13">
      <c r="B179" s="189">
        <v>177</v>
      </c>
      <c r="C179" s="189" t="s">
        <v>2312</v>
      </c>
      <c r="D179" s="266" t="s">
        <v>142</v>
      </c>
      <c r="E179" s="266" t="s">
        <v>144</v>
      </c>
      <c r="F179" s="189" t="s">
        <v>2313</v>
      </c>
      <c r="G179" s="671" t="s">
        <v>1847</v>
      </c>
    </row>
    <row r="180" spans="2:7" ht="13">
      <c r="B180" s="189">
        <v>178</v>
      </c>
      <c r="C180" s="189" t="s">
        <v>108</v>
      </c>
      <c r="D180" s="266" t="s">
        <v>142</v>
      </c>
      <c r="E180" s="266" t="s">
        <v>144</v>
      </c>
      <c r="F180" s="189" t="s">
        <v>109</v>
      </c>
      <c r="G180" s="671" t="s">
        <v>1847</v>
      </c>
    </row>
    <row r="181" spans="2:7" ht="13">
      <c r="B181" s="189">
        <v>179</v>
      </c>
      <c r="C181" s="189" t="s">
        <v>1807</v>
      </c>
      <c r="D181" s="266" t="s">
        <v>142</v>
      </c>
      <c r="E181" s="266" t="s">
        <v>144</v>
      </c>
      <c r="F181" s="309" t="s">
        <v>680</v>
      </c>
      <c r="G181" s="671" t="s">
        <v>1847</v>
      </c>
    </row>
    <row r="182" spans="2:7" ht="13">
      <c r="B182" s="189">
        <v>180</v>
      </c>
      <c r="C182" s="309" t="s">
        <v>2303</v>
      </c>
      <c r="D182" s="266" t="s">
        <v>220</v>
      </c>
      <c r="E182" s="266" t="s">
        <v>209</v>
      </c>
      <c r="F182" s="189" t="s">
        <v>2304</v>
      </c>
      <c r="G182" s="671" t="s">
        <v>1847</v>
      </c>
    </row>
    <row r="183" spans="2:7" ht="13">
      <c r="B183" s="189">
        <v>181</v>
      </c>
      <c r="C183" s="189" t="s">
        <v>2305</v>
      </c>
      <c r="D183" s="266" t="s">
        <v>220</v>
      </c>
      <c r="E183" s="266" t="s">
        <v>209</v>
      </c>
      <c r="F183" s="189" t="s">
        <v>2306</v>
      </c>
      <c r="G183" s="671" t="s">
        <v>1847</v>
      </c>
    </row>
    <row r="184" spans="2:7" ht="13">
      <c r="B184" s="189">
        <v>182</v>
      </c>
      <c r="C184" s="189" t="s">
        <v>1796</v>
      </c>
      <c r="D184" s="266" t="s">
        <v>220</v>
      </c>
      <c r="E184" s="266" t="s">
        <v>209</v>
      </c>
      <c r="F184" s="189" t="s">
        <v>812</v>
      </c>
      <c r="G184" s="671" t="s">
        <v>1847</v>
      </c>
    </row>
    <row r="185" spans="2:7" ht="13">
      <c r="B185" s="189">
        <v>183</v>
      </c>
      <c r="C185" s="189" t="s">
        <v>2316</v>
      </c>
      <c r="D185" s="266" t="s">
        <v>220</v>
      </c>
      <c r="E185" s="266" t="s">
        <v>209</v>
      </c>
      <c r="F185" s="189" t="s">
        <v>814</v>
      </c>
      <c r="G185" s="671" t="s">
        <v>1847</v>
      </c>
    </row>
    <row r="186" spans="2:7" ht="13">
      <c r="B186" s="189">
        <v>184</v>
      </c>
      <c r="C186" s="189" t="s">
        <v>115</v>
      </c>
      <c r="D186" s="266" t="s">
        <v>220</v>
      </c>
      <c r="E186" s="266" t="s">
        <v>209</v>
      </c>
      <c r="F186" s="189" t="s">
        <v>2300</v>
      </c>
      <c r="G186" s="671" t="s">
        <v>1847</v>
      </c>
    </row>
    <row r="187" spans="2:7" ht="13">
      <c r="B187" s="189">
        <v>185</v>
      </c>
      <c r="C187" s="189" t="s">
        <v>2301</v>
      </c>
      <c r="D187" s="266" t="s">
        <v>220</v>
      </c>
      <c r="E187" s="266" t="s">
        <v>209</v>
      </c>
      <c r="F187" s="189" t="s">
        <v>2302</v>
      </c>
      <c r="G187" s="671" t="s">
        <v>1847</v>
      </c>
    </row>
    <row r="188" spans="2:7" ht="13">
      <c r="B188" s="189">
        <v>186</v>
      </c>
      <c r="C188" s="189" t="s">
        <v>1773</v>
      </c>
      <c r="D188" s="266" t="s">
        <v>190</v>
      </c>
      <c r="E188" s="266" t="s">
        <v>137</v>
      </c>
      <c r="F188" s="659" t="s">
        <v>192</v>
      </c>
      <c r="G188" s="672" t="s">
        <v>2658</v>
      </c>
    </row>
    <row r="189" spans="2:7" ht="13">
      <c r="B189" s="189">
        <v>187</v>
      </c>
      <c r="C189" s="189" t="s">
        <v>1774</v>
      </c>
      <c r="D189" s="266" t="s">
        <v>299</v>
      </c>
      <c r="E189" s="266" t="s">
        <v>209</v>
      </c>
      <c r="F189" s="189" t="s">
        <v>306</v>
      </c>
      <c r="G189" s="672" t="s">
        <v>2658</v>
      </c>
    </row>
    <row r="190" spans="2:7" ht="13">
      <c r="B190" s="189">
        <v>188</v>
      </c>
      <c r="C190" s="189" t="s">
        <v>1776</v>
      </c>
      <c r="D190" s="266" t="s">
        <v>299</v>
      </c>
      <c r="E190" s="266" t="s">
        <v>209</v>
      </c>
      <c r="F190" s="189" t="s">
        <v>333</v>
      </c>
      <c r="G190" s="672" t="s">
        <v>2658</v>
      </c>
    </row>
    <row r="191" spans="2:7" ht="13">
      <c r="B191" s="189">
        <v>189</v>
      </c>
      <c r="C191" s="189" t="s">
        <v>1777</v>
      </c>
      <c r="D191" s="266" t="s">
        <v>299</v>
      </c>
      <c r="E191" s="266" t="s">
        <v>209</v>
      </c>
      <c r="F191" s="189" t="s">
        <v>339</v>
      </c>
      <c r="G191" s="672" t="s">
        <v>2658</v>
      </c>
    </row>
    <row r="192" spans="2:7" ht="13">
      <c r="B192" s="189">
        <v>190</v>
      </c>
      <c r="C192" s="189" t="s">
        <v>1778</v>
      </c>
      <c r="D192" s="266" t="s">
        <v>190</v>
      </c>
      <c r="E192" s="266" t="s">
        <v>137</v>
      </c>
      <c r="F192" s="189" t="s">
        <v>344</v>
      </c>
      <c r="G192" s="672" t="s">
        <v>2658</v>
      </c>
    </row>
    <row r="193" spans="2:7" ht="13">
      <c r="B193" s="189">
        <v>191</v>
      </c>
      <c r="C193" s="189" t="s">
        <v>1779</v>
      </c>
      <c r="D193" s="266" t="s">
        <v>2657</v>
      </c>
      <c r="E193" s="266" t="s">
        <v>144</v>
      </c>
      <c r="F193" s="189" t="s">
        <v>350</v>
      </c>
      <c r="G193" s="672" t="s">
        <v>2658</v>
      </c>
    </row>
    <row r="194" spans="2:7" ht="13">
      <c r="B194" s="189">
        <v>192</v>
      </c>
      <c r="C194" s="189" t="s">
        <v>1780</v>
      </c>
      <c r="D194" s="266" t="s">
        <v>299</v>
      </c>
      <c r="E194" s="266" t="s">
        <v>209</v>
      </c>
      <c r="F194" s="189" t="s">
        <v>355</v>
      </c>
      <c r="G194" s="672" t="s">
        <v>2658</v>
      </c>
    </row>
    <row r="195" spans="2:7" ht="13">
      <c r="B195" s="189">
        <v>193</v>
      </c>
      <c r="C195" s="189" t="s">
        <v>1781</v>
      </c>
      <c r="D195" s="266" t="s">
        <v>467</v>
      </c>
      <c r="E195" s="266" t="s">
        <v>144</v>
      </c>
      <c r="F195" s="189" t="s">
        <v>465</v>
      </c>
      <c r="G195" s="672" t="s">
        <v>2658</v>
      </c>
    </row>
    <row r="196" spans="2:7" ht="13">
      <c r="B196" s="189">
        <v>194</v>
      </c>
      <c r="C196" s="189" t="s">
        <v>1783</v>
      </c>
      <c r="D196" s="266" t="s">
        <v>467</v>
      </c>
      <c r="E196" s="266" t="s">
        <v>144</v>
      </c>
      <c r="F196" s="189" t="s">
        <v>471</v>
      </c>
      <c r="G196" s="672" t="s">
        <v>2658</v>
      </c>
    </row>
    <row r="197" spans="2:7" ht="13">
      <c r="B197" s="189">
        <v>195</v>
      </c>
      <c r="C197" s="189" t="s">
        <v>1784</v>
      </c>
      <c r="D197" s="266" t="s">
        <v>467</v>
      </c>
      <c r="E197" s="266" t="s">
        <v>144</v>
      </c>
      <c r="F197" s="189" t="s">
        <v>490</v>
      </c>
      <c r="G197" s="672" t="s">
        <v>2658</v>
      </c>
    </row>
    <row r="198" spans="2:7" ht="13">
      <c r="B198" s="189">
        <v>196</v>
      </c>
      <c r="C198" s="189" t="s">
        <v>1785</v>
      </c>
      <c r="D198" s="266" t="s">
        <v>328</v>
      </c>
      <c r="E198" s="266" t="s">
        <v>144</v>
      </c>
      <c r="F198" s="189" t="s">
        <v>533</v>
      </c>
      <c r="G198" s="672" t="s">
        <v>2658</v>
      </c>
    </row>
    <row r="199" spans="2:7" ht="13">
      <c r="B199" s="189">
        <v>197</v>
      </c>
      <c r="C199" s="189" t="s">
        <v>1786</v>
      </c>
      <c r="D199" s="189" t="s">
        <v>656</v>
      </c>
      <c r="E199" s="266" t="s">
        <v>144</v>
      </c>
      <c r="F199" s="189" t="s">
        <v>555</v>
      </c>
      <c r="G199" s="672" t="s">
        <v>2658</v>
      </c>
    </row>
    <row r="200" spans="2:7" ht="13">
      <c r="B200" s="189">
        <v>198</v>
      </c>
      <c r="C200" s="189" t="s">
        <v>1787</v>
      </c>
      <c r="D200" s="189" t="s">
        <v>656</v>
      </c>
      <c r="E200" s="266" t="s">
        <v>144</v>
      </c>
      <c r="F200" s="189" t="s">
        <v>561</v>
      </c>
      <c r="G200" s="672" t="s">
        <v>2658</v>
      </c>
    </row>
    <row r="201" spans="2:7" ht="13">
      <c r="B201" s="189">
        <v>199</v>
      </c>
      <c r="C201" s="189" t="s">
        <v>1788</v>
      </c>
      <c r="D201" s="189" t="s">
        <v>777</v>
      </c>
      <c r="E201" s="266" t="s">
        <v>174</v>
      </c>
      <c r="F201" s="189" t="s">
        <v>589</v>
      </c>
      <c r="G201" s="672" t="s">
        <v>2658</v>
      </c>
    </row>
    <row r="202" spans="2:7" ht="13">
      <c r="B202" s="189">
        <v>200</v>
      </c>
      <c r="C202" s="189" t="s">
        <v>1790</v>
      </c>
      <c r="D202" s="189" t="s">
        <v>232</v>
      </c>
      <c r="E202" s="266" t="s">
        <v>174</v>
      </c>
      <c r="F202" s="189" t="s">
        <v>602</v>
      </c>
      <c r="G202" s="672" t="s">
        <v>2658</v>
      </c>
    </row>
    <row r="203" spans="2:7" ht="13">
      <c r="B203" s="189">
        <v>201</v>
      </c>
      <c r="C203" s="189" t="s">
        <v>1791</v>
      </c>
      <c r="D203" s="189" t="s">
        <v>232</v>
      </c>
      <c r="E203" s="266" t="s">
        <v>137</v>
      </c>
      <c r="F203" s="189" t="s">
        <v>626</v>
      </c>
      <c r="G203" s="672" t="s">
        <v>2658</v>
      </c>
    </row>
    <row r="204" spans="2:7" ht="13">
      <c r="B204" s="189">
        <v>202</v>
      </c>
      <c r="C204" s="660" t="s">
        <v>1794</v>
      </c>
      <c r="D204" s="189" t="s">
        <v>1795</v>
      </c>
      <c r="E204" s="266" t="s">
        <v>144</v>
      </c>
      <c r="F204" s="189" t="s">
        <v>668</v>
      </c>
      <c r="G204" s="672" t="s">
        <v>2658</v>
      </c>
    </row>
    <row r="205" spans="2:7" ht="13">
      <c r="B205" s="189">
        <v>203</v>
      </c>
      <c r="C205" s="189" t="s">
        <v>1798</v>
      </c>
      <c r="D205" s="189" t="s">
        <v>328</v>
      </c>
      <c r="E205" s="266" t="s">
        <v>144</v>
      </c>
      <c r="F205" s="189" t="s">
        <v>851</v>
      </c>
      <c r="G205" s="672" t="s">
        <v>2658</v>
      </c>
    </row>
    <row r="206" spans="2:7" ht="13">
      <c r="B206" s="189">
        <v>204</v>
      </c>
      <c r="C206" s="189" t="s">
        <v>1799</v>
      </c>
      <c r="D206" s="189" t="s">
        <v>2656</v>
      </c>
      <c r="E206" s="266" t="s">
        <v>137</v>
      </c>
      <c r="F206" s="189" t="s">
        <v>856</v>
      </c>
      <c r="G206" s="672" t="s">
        <v>2658</v>
      </c>
    </row>
    <row r="207" spans="2:7" ht="13">
      <c r="B207" s="189">
        <v>205</v>
      </c>
      <c r="C207" s="189" t="s">
        <v>1581</v>
      </c>
      <c r="D207" s="189" t="s">
        <v>467</v>
      </c>
      <c r="E207" s="266" t="s">
        <v>144</v>
      </c>
      <c r="F207" s="189" t="s">
        <v>2581</v>
      </c>
      <c r="G207" s="672" t="s">
        <v>2658</v>
      </c>
    </row>
    <row r="208" spans="2:7" ht="13">
      <c r="B208" s="189">
        <v>206</v>
      </c>
      <c r="C208" s="189" t="s">
        <v>2326</v>
      </c>
      <c r="D208" s="189" t="s">
        <v>299</v>
      </c>
      <c r="E208" s="266" t="s">
        <v>2659</v>
      </c>
      <c r="F208" s="189" t="s">
        <v>1938</v>
      </c>
      <c r="G208" s="673" t="s">
        <v>2660</v>
      </c>
    </row>
    <row r="209" spans="2:8" ht="13">
      <c r="B209" s="189">
        <v>207</v>
      </c>
      <c r="C209" s="189" t="s">
        <v>1916</v>
      </c>
      <c r="D209" s="266" t="s">
        <v>266</v>
      </c>
      <c r="E209" s="266" t="s">
        <v>2659</v>
      </c>
      <c r="F209" s="189" t="s">
        <v>1943</v>
      </c>
      <c r="G209" s="673" t="s">
        <v>2660</v>
      </c>
    </row>
    <row r="210" spans="2:8" ht="13">
      <c r="B210" s="189">
        <v>208</v>
      </c>
      <c r="C210" s="189" t="s">
        <v>1918</v>
      </c>
      <c r="D210" s="189" t="s">
        <v>2661</v>
      </c>
      <c r="E210" s="266" t="s">
        <v>2659</v>
      </c>
      <c r="F210" s="189" t="s">
        <v>1944</v>
      </c>
      <c r="G210" s="673" t="s">
        <v>2660</v>
      </c>
    </row>
    <row r="211" spans="2:8" ht="13">
      <c r="B211" s="189">
        <v>209</v>
      </c>
      <c r="C211" s="189" t="s">
        <v>1922</v>
      </c>
      <c r="D211" s="189" t="s">
        <v>2662</v>
      </c>
      <c r="E211" s="266" t="s">
        <v>2659</v>
      </c>
      <c r="F211" s="189" t="s">
        <v>1945</v>
      </c>
      <c r="G211" s="673" t="s">
        <v>2660</v>
      </c>
    </row>
    <row r="212" spans="2:8" ht="13">
      <c r="B212" s="189">
        <v>210</v>
      </c>
      <c r="C212" s="189" t="s">
        <v>1924</v>
      </c>
      <c r="D212" s="189" t="s">
        <v>328</v>
      </c>
      <c r="E212" s="266" t="s">
        <v>2659</v>
      </c>
      <c r="F212" s="189" t="s">
        <v>1947</v>
      </c>
      <c r="G212" s="673" t="s">
        <v>2660</v>
      </c>
    </row>
    <row r="213" spans="2:8" ht="13">
      <c r="B213" s="189">
        <v>211</v>
      </c>
      <c r="C213" s="189" t="s">
        <v>1928</v>
      </c>
      <c r="D213" s="189" t="s">
        <v>2663</v>
      </c>
      <c r="E213" s="266" t="s">
        <v>2659</v>
      </c>
      <c r="F213" s="189" t="s">
        <v>1949</v>
      </c>
      <c r="G213" s="673" t="s">
        <v>2660</v>
      </c>
    </row>
    <row r="214" spans="2:8" ht="13">
      <c r="B214" s="189">
        <v>212</v>
      </c>
      <c r="C214" s="189" t="s">
        <v>1932</v>
      </c>
      <c r="D214" s="266" t="s">
        <v>144</v>
      </c>
      <c r="E214" s="266" t="s">
        <v>2659</v>
      </c>
      <c r="F214" s="189" t="s">
        <v>1950</v>
      </c>
      <c r="G214" s="673" t="s">
        <v>2660</v>
      </c>
    </row>
    <row r="215" spans="2:8" ht="13">
      <c r="B215" s="189">
        <v>213</v>
      </c>
      <c r="C215" s="189" t="s">
        <v>1934</v>
      </c>
      <c r="D215" s="189" t="s">
        <v>2664</v>
      </c>
      <c r="E215" s="266" t="s">
        <v>2659</v>
      </c>
      <c r="F215" s="189" t="s">
        <v>1951</v>
      </c>
      <c r="G215" s="673" t="s">
        <v>2660</v>
      </c>
    </row>
    <row r="216" spans="2:8" ht="13">
      <c r="B216" s="189">
        <v>214</v>
      </c>
      <c r="C216" s="266" t="s">
        <v>2665</v>
      </c>
      <c r="D216" s="189" t="s">
        <v>2000</v>
      </c>
      <c r="E216" s="266" t="s">
        <v>2666</v>
      </c>
      <c r="F216" s="189" t="s">
        <v>2023</v>
      </c>
      <c r="G216" s="673" t="s">
        <v>2666</v>
      </c>
    </row>
    <row r="217" spans="2:8" ht="13">
      <c r="B217" s="189">
        <v>215</v>
      </c>
      <c r="C217" s="189" t="s">
        <v>2595</v>
      </c>
      <c r="D217" s="189" t="s">
        <v>2001</v>
      </c>
      <c r="E217" s="266" t="s">
        <v>2666</v>
      </c>
      <c r="F217" s="189" t="s">
        <v>2667</v>
      </c>
      <c r="G217" s="673" t="s">
        <v>2666</v>
      </c>
    </row>
    <row r="218" spans="2:8" ht="13">
      <c r="B218" s="189">
        <v>216</v>
      </c>
      <c r="C218" s="189" t="s">
        <v>1958</v>
      </c>
      <c r="D218" s="266" t="s">
        <v>2741</v>
      </c>
      <c r="E218" s="266" t="s">
        <v>2666</v>
      </c>
      <c r="F218" s="266" t="s">
        <v>2027</v>
      </c>
      <c r="G218" s="673" t="s">
        <v>2666</v>
      </c>
      <c r="H218" s="675" t="s">
        <v>2742</v>
      </c>
    </row>
    <row r="219" spans="2:8" ht="13">
      <c r="B219" s="189">
        <v>217</v>
      </c>
      <c r="C219" s="266" t="s">
        <v>2668</v>
      </c>
      <c r="D219" s="189" t="s">
        <v>2002</v>
      </c>
      <c r="E219" s="266" t="s">
        <v>2666</v>
      </c>
      <c r="F219" s="189" t="s">
        <v>2669</v>
      </c>
      <c r="G219" s="673" t="s">
        <v>2666</v>
      </c>
    </row>
    <row r="220" spans="2:8" ht="13">
      <c r="B220" s="189">
        <v>218</v>
      </c>
      <c r="C220" s="189" t="s">
        <v>2670</v>
      </c>
      <c r="D220" s="189" t="s">
        <v>2003</v>
      </c>
      <c r="E220" s="266" t="s">
        <v>2666</v>
      </c>
      <c r="F220" s="189" t="s">
        <v>2026</v>
      </c>
      <c r="G220" s="673" t="s">
        <v>2666</v>
      </c>
    </row>
    <row r="221" spans="2:8" ht="13">
      <c r="B221" s="189">
        <v>219</v>
      </c>
      <c r="C221" s="189" t="s">
        <v>2671</v>
      </c>
      <c r="D221" s="189" t="s">
        <v>2003</v>
      </c>
      <c r="E221" s="266" t="s">
        <v>2666</v>
      </c>
      <c r="F221" s="667" t="s">
        <v>2026</v>
      </c>
      <c r="G221" s="673" t="s">
        <v>2666</v>
      </c>
    </row>
    <row r="222" spans="2:8" ht="13">
      <c r="B222" s="189">
        <v>220</v>
      </c>
      <c r="C222" s="189" t="s">
        <v>1959</v>
      </c>
      <c r="D222" s="266" t="s">
        <v>2672</v>
      </c>
      <c r="E222" s="266" t="s">
        <v>2666</v>
      </c>
      <c r="F222" s="189" t="s">
        <v>2028</v>
      </c>
      <c r="G222" s="673" t="s">
        <v>2666</v>
      </c>
    </row>
    <row r="223" spans="2:8" ht="13">
      <c r="B223" s="189">
        <v>221</v>
      </c>
      <c r="C223" s="189" t="s">
        <v>1961</v>
      </c>
      <c r="D223" s="266" t="s">
        <v>2673</v>
      </c>
      <c r="E223" s="266" t="s">
        <v>2666</v>
      </c>
      <c r="F223" s="189" t="s">
        <v>2030</v>
      </c>
      <c r="G223" s="673" t="s">
        <v>2666</v>
      </c>
    </row>
    <row r="224" spans="2:8" ht="13">
      <c r="B224" s="189">
        <v>222</v>
      </c>
      <c r="C224" s="189" t="s">
        <v>1962</v>
      </c>
      <c r="D224" s="266" t="s">
        <v>2674</v>
      </c>
      <c r="E224" s="266" t="s">
        <v>2666</v>
      </c>
      <c r="F224" s="189" t="s">
        <v>2031</v>
      </c>
      <c r="G224" s="673" t="s">
        <v>2666</v>
      </c>
    </row>
    <row r="225" spans="2:7" ht="13">
      <c r="B225" s="189">
        <v>223</v>
      </c>
      <c r="C225" s="189" t="s">
        <v>1964</v>
      </c>
      <c r="D225" s="266" t="s">
        <v>2675</v>
      </c>
      <c r="E225" s="266" t="s">
        <v>2666</v>
      </c>
      <c r="F225" s="189" t="s">
        <v>2033</v>
      </c>
      <c r="G225" s="673" t="s">
        <v>2666</v>
      </c>
    </row>
    <row r="226" spans="2:7" ht="13">
      <c r="B226" s="189">
        <v>224</v>
      </c>
      <c r="C226" s="189" t="s">
        <v>1965</v>
      </c>
      <c r="D226" s="266" t="s">
        <v>2676</v>
      </c>
      <c r="E226" s="266" t="s">
        <v>2666</v>
      </c>
      <c r="F226" s="189" t="s">
        <v>2034</v>
      </c>
      <c r="G226" s="673" t="s">
        <v>2666</v>
      </c>
    </row>
    <row r="227" spans="2:7" ht="13">
      <c r="B227" s="189">
        <v>225</v>
      </c>
      <c r="C227" s="189" t="s">
        <v>1966</v>
      </c>
      <c r="D227" s="266" t="s">
        <v>2677</v>
      </c>
      <c r="E227" s="266" t="s">
        <v>2666</v>
      </c>
      <c r="F227" s="189" t="s">
        <v>2035</v>
      </c>
      <c r="G227" s="673" t="s">
        <v>2666</v>
      </c>
    </row>
    <row r="228" spans="2:7" ht="13">
      <c r="B228" s="189">
        <v>226</v>
      </c>
      <c r="C228" s="189" t="s">
        <v>1967</v>
      </c>
      <c r="D228" s="266" t="s">
        <v>2678</v>
      </c>
      <c r="E228" s="266" t="s">
        <v>2666</v>
      </c>
      <c r="F228" s="189" t="s">
        <v>2036</v>
      </c>
      <c r="G228" s="673" t="s">
        <v>2666</v>
      </c>
    </row>
    <row r="229" spans="2:7" ht="13">
      <c r="B229" s="189">
        <v>227</v>
      </c>
      <c r="C229" s="189" t="s">
        <v>1969</v>
      </c>
      <c r="D229" s="189" t="s">
        <v>2015</v>
      </c>
      <c r="E229" s="266" t="s">
        <v>2666</v>
      </c>
      <c r="F229" s="189" t="s">
        <v>2038</v>
      </c>
      <c r="G229" s="673" t="s">
        <v>2666</v>
      </c>
    </row>
    <row r="230" spans="2:7" ht="13">
      <c r="B230" s="189">
        <v>228</v>
      </c>
      <c r="C230" s="189" t="s">
        <v>2594</v>
      </c>
      <c r="D230" s="189"/>
      <c r="E230" s="266" t="s">
        <v>2666</v>
      </c>
      <c r="F230" s="189" t="s">
        <v>2679</v>
      </c>
      <c r="G230" s="673" t="s">
        <v>2666</v>
      </c>
    </row>
    <row r="231" spans="2:7" ht="13">
      <c r="B231" s="189">
        <v>229</v>
      </c>
      <c r="C231" s="189" t="s">
        <v>1971</v>
      </c>
      <c r="D231" s="266" t="s">
        <v>2680</v>
      </c>
      <c r="E231" s="266" t="s">
        <v>2666</v>
      </c>
      <c r="F231" s="189" t="s">
        <v>2040</v>
      </c>
      <c r="G231" s="673" t="s">
        <v>2666</v>
      </c>
    </row>
    <row r="232" spans="2:7" ht="13">
      <c r="B232" s="189">
        <v>230</v>
      </c>
      <c r="C232" s="189" t="s">
        <v>1972</v>
      </c>
      <c r="D232" s="266" t="s">
        <v>2681</v>
      </c>
      <c r="E232" s="266" t="s">
        <v>2666</v>
      </c>
      <c r="F232" s="189" t="s">
        <v>2041</v>
      </c>
      <c r="G232" s="673" t="s">
        <v>2666</v>
      </c>
    </row>
    <row r="233" spans="2:7" ht="13">
      <c r="B233" s="189">
        <v>231</v>
      </c>
      <c r="C233" s="266" t="s">
        <v>2682</v>
      </c>
      <c r="D233" s="266" t="s">
        <v>2683</v>
      </c>
      <c r="E233" s="266" t="s">
        <v>2666</v>
      </c>
      <c r="F233" s="667" t="s">
        <v>2042</v>
      </c>
      <c r="G233" s="673" t="s">
        <v>2666</v>
      </c>
    </row>
    <row r="234" spans="2:7" ht="13">
      <c r="B234" s="189">
        <v>232</v>
      </c>
      <c r="C234" s="266" t="s">
        <v>2684</v>
      </c>
      <c r="D234" s="266" t="s">
        <v>2685</v>
      </c>
      <c r="E234" s="266" t="s">
        <v>2666</v>
      </c>
      <c r="F234" s="189" t="s">
        <v>2686</v>
      </c>
      <c r="G234" s="673" t="s">
        <v>2666</v>
      </c>
    </row>
    <row r="235" spans="2:7" ht="13">
      <c r="B235" s="189">
        <v>233</v>
      </c>
      <c r="C235" s="189" t="s">
        <v>1975</v>
      </c>
      <c r="D235" s="266" t="s">
        <v>2687</v>
      </c>
      <c r="E235" s="266" t="s">
        <v>2666</v>
      </c>
      <c r="F235" s="189" t="s">
        <v>2044</v>
      </c>
      <c r="G235" s="673" t="s">
        <v>2666</v>
      </c>
    </row>
    <row r="236" spans="2:7" ht="13">
      <c r="B236" s="189">
        <v>234</v>
      </c>
      <c r="C236" s="266" t="s">
        <v>2688</v>
      </c>
      <c r="D236" s="266" t="s">
        <v>2689</v>
      </c>
      <c r="E236" s="266" t="s">
        <v>2666</v>
      </c>
      <c r="F236" s="667" t="s">
        <v>2045</v>
      </c>
      <c r="G236" s="673" t="s">
        <v>2666</v>
      </c>
    </row>
    <row r="237" spans="2:7" ht="13">
      <c r="B237" s="189">
        <v>235</v>
      </c>
      <c r="C237" s="189" t="s">
        <v>2224</v>
      </c>
      <c r="D237" s="266" t="s">
        <v>2635</v>
      </c>
      <c r="E237" s="266" t="s">
        <v>2618</v>
      </c>
      <c r="F237" s="665" t="s">
        <v>1473</v>
      </c>
      <c r="G237" s="673" t="s">
        <v>311</v>
      </c>
    </row>
    <row r="238" spans="2:7" ht="13">
      <c r="B238" s="189">
        <v>236</v>
      </c>
      <c r="C238" s="266" t="s">
        <v>2690</v>
      </c>
      <c r="D238" s="266" t="s">
        <v>2635</v>
      </c>
      <c r="E238" s="266" t="s">
        <v>2618</v>
      </c>
      <c r="F238" s="665" t="s">
        <v>2691</v>
      </c>
      <c r="G238" s="673" t="s">
        <v>311</v>
      </c>
    </row>
    <row r="239" spans="2:7" ht="13">
      <c r="B239" s="189">
        <v>237</v>
      </c>
      <c r="C239" s="189" t="s">
        <v>2227</v>
      </c>
      <c r="D239" s="266" t="s">
        <v>2637</v>
      </c>
      <c r="E239" s="266" t="s">
        <v>2618</v>
      </c>
      <c r="F239" s="189" t="s">
        <v>2228</v>
      </c>
      <c r="G239" s="673" t="s">
        <v>311</v>
      </c>
    </row>
    <row r="240" spans="2:7" ht="13">
      <c r="B240" s="189">
        <v>238</v>
      </c>
      <c r="C240" s="266" t="s">
        <v>2364</v>
      </c>
      <c r="D240" s="266" t="s">
        <v>2692</v>
      </c>
      <c r="E240" s="266" t="s">
        <v>144</v>
      </c>
      <c r="F240" s="189" t="s">
        <v>2268</v>
      </c>
      <c r="G240" s="673" t="s">
        <v>311</v>
      </c>
    </row>
    <row r="241" spans="2:7" ht="13">
      <c r="B241" s="189">
        <v>239</v>
      </c>
      <c r="C241" s="266" t="s">
        <v>2693</v>
      </c>
      <c r="D241" s="266" t="s">
        <v>2694</v>
      </c>
      <c r="E241" s="266" t="s">
        <v>144</v>
      </c>
      <c r="F241" s="189" t="s">
        <v>2371</v>
      </c>
      <c r="G241" s="673" t="s">
        <v>311</v>
      </c>
    </row>
    <row r="242" spans="2:7" ht="13">
      <c r="B242" s="189">
        <v>240</v>
      </c>
      <c r="C242" s="266" t="s">
        <v>2695</v>
      </c>
      <c r="D242" s="266" t="s">
        <v>2696</v>
      </c>
      <c r="E242" s="266" t="s">
        <v>144</v>
      </c>
      <c r="F242" s="189" t="s">
        <v>2377</v>
      </c>
      <c r="G242" s="673" t="s">
        <v>311</v>
      </c>
    </row>
    <row r="243" spans="2:7" ht="13">
      <c r="B243" s="189">
        <v>241</v>
      </c>
      <c r="C243" s="266" t="s">
        <v>2697</v>
      </c>
      <c r="D243" s="266" t="s">
        <v>2698</v>
      </c>
      <c r="E243" s="266" t="s">
        <v>144</v>
      </c>
      <c r="F243" s="189" t="s">
        <v>2263</v>
      </c>
      <c r="G243" s="673" t="s">
        <v>311</v>
      </c>
    </row>
    <row r="244" spans="2:7" ht="13">
      <c r="B244" s="189">
        <v>242</v>
      </c>
      <c r="C244" s="266" t="s">
        <v>2699</v>
      </c>
      <c r="D244" s="266" t="s">
        <v>142</v>
      </c>
      <c r="E244" s="266" t="s">
        <v>144</v>
      </c>
      <c r="F244" s="189"/>
      <c r="G244" s="664" t="s">
        <v>2620</v>
      </c>
    </row>
    <row r="245" spans="2:7" ht="13">
      <c r="B245" s="189">
        <v>243</v>
      </c>
      <c r="C245" s="266" t="s">
        <v>2196</v>
      </c>
      <c r="D245" s="266" t="s">
        <v>142</v>
      </c>
      <c r="E245" s="266" t="s">
        <v>144</v>
      </c>
      <c r="F245" s="189"/>
      <c r="G245" s="664" t="s">
        <v>2620</v>
      </c>
    </row>
    <row r="246" spans="2:7" ht="13">
      <c r="B246" s="189">
        <v>244</v>
      </c>
      <c r="C246" s="266" t="s">
        <v>2700</v>
      </c>
      <c r="D246" s="266" t="s">
        <v>142</v>
      </c>
      <c r="E246" s="266" t="s">
        <v>144</v>
      </c>
      <c r="F246" s="189"/>
      <c r="G246" s="664" t="s">
        <v>2620</v>
      </c>
    </row>
    <row r="247" spans="2:7" ht="13">
      <c r="B247" s="189">
        <v>245</v>
      </c>
      <c r="C247" s="266" t="s">
        <v>2195</v>
      </c>
      <c r="D247" s="266" t="s">
        <v>142</v>
      </c>
      <c r="E247" s="266" t="s">
        <v>144</v>
      </c>
      <c r="F247" s="189"/>
      <c r="G247" s="664" t="s">
        <v>2620</v>
      </c>
    </row>
    <row r="248" spans="2:7" ht="13">
      <c r="B248" s="189">
        <v>246</v>
      </c>
      <c r="C248" s="266" t="s">
        <v>2701</v>
      </c>
      <c r="D248" s="266" t="s">
        <v>142</v>
      </c>
      <c r="E248" s="266" t="s">
        <v>144</v>
      </c>
      <c r="F248" s="189"/>
      <c r="G248" s="664" t="s">
        <v>2620</v>
      </c>
    </row>
    <row r="249" spans="2:7" ht="13">
      <c r="B249" s="189">
        <v>247</v>
      </c>
      <c r="C249" s="266" t="s">
        <v>2702</v>
      </c>
      <c r="D249" s="266" t="s">
        <v>142</v>
      </c>
      <c r="E249" s="266" t="s">
        <v>144</v>
      </c>
      <c r="F249" s="189"/>
      <c r="G249" s="664" t="s">
        <v>2620</v>
      </c>
    </row>
    <row r="250" spans="2:7" ht="13">
      <c r="B250" s="189">
        <v>248</v>
      </c>
      <c r="C250" s="266" t="s">
        <v>2703</v>
      </c>
      <c r="D250" s="266" t="s">
        <v>142</v>
      </c>
      <c r="E250" s="266" t="s">
        <v>144</v>
      </c>
      <c r="F250" s="189"/>
      <c r="G250" s="664" t="s">
        <v>2620</v>
      </c>
    </row>
    <row r="251" spans="2:7" ht="13">
      <c r="B251" s="189">
        <v>249</v>
      </c>
      <c r="C251" s="266" t="s">
        <v>2704</v>
      </c>
      <c r="D251" s="266" t="s">
        <v>142</v>
      </c>
      <c r="E251" s="266" t="s">
        <v>144</v>
      </c>
      <c r="F251" s="189"/>
      <c r="G251" s="664" t="s">
        <v>2620</v>
      </c>
    </row>
    <row r="252" spans="2:7" ht="13">
      <c r="B252" s="189">
        <v>250</v>
      </c>
      <c r="C252" s="266" t="s">
        <v>2705</v>
      </c>
      <c r="D252" s="266" t="s">
        <v>142</v>
      </c>
      <c r="E252" s="266" t="s">
        <v>144</v>
      </c>
      <c r="F252" s="189"/>
      <c r="G252" s="664" t="s">
        <v>2620</v>
      </c>
    </row>
    <row r="253" spans="2:7" ht="13">
      <c r="B253" s="189">
        <v>251</v>
      </c>
      <c r="C253" s="266" t="s">
        <v>2706</v>
      </c>
      <c r="D253" s="266" t="s">
        <v>142</v>
      </c>
      <c r="E253" s="266" t="s">
        <v>144</v>
      </c>
      <c r="F253" s="189"/>
      <c r="G253" s="664" t="s">
        <v>2620</v>
      </c>
    </row>
    <row r="254" spans="2:7" ht="13">
      <c r="B254" s="189">
        <v>252</v>
      </c>
      <c r="C254" s="266" t="s">
        <v>2707</v>
      </c>
      <c r="D254" s="266" t="s">
        <v>142</v>
      </c>
      <c r="E254" s="266" t="s">
        <v>144</v>
      </c>
      <c r="F254" s="189"/>
      <c r="G254" s="664" t="s">
        <v>2620</v>
      </c>
    </row>
    <row r="255" spans="2:7" ht="13">
      <c r="B255" s="189">
        <v>253</v>
      </c>
      <c r="C255" s="266" t="s">
        <v>2708</v>
      </c>
      <c r="D255" s="266" t="s">
        <v>142</v>
      </c>
      <c r="E255" s="266" t="s">
        <v>144</v>
      </c>
      <c r="F255" s="189"/>
      <c r="G255" s="664" t="s">
        <v>2620</v>
      </c>
    </row>
    <row r="256" spans="2:7" ht="13">
      <c r="B256" s="189">
        <v>254</v>
      </c>
      <c r="C256" s="266" t="s">
        <v>2709</v>
      </c>
      <c r="D256" s="266" t="s">
        <v>142</v>
      </c>
      <c r="E256" s="266" t="s">
        <v>144</v>
      </c>
      <c r="F256" s="189"/>
      <c r="G256" s="664" t="s">
        <v>2620</v>
      </c>
    </row>
    <row r="257" spans="2:7" ht="13">
      <c r="B257" s="189">
        <v>255</v>
      </c>
      <c r="C257" s="266" t="s">
        <v>2710</v>
      </c>
      <c r="D257" s="266" t="s">
        <v>142</v>
      </c>
      <c r="E257" s="266" t="s">
        <v>144</v>
      </c>
      <c r="F257" s="189"/>
      <c r="G257" s="664" t="s">
        <v>2620</v>
      </c>
    </row>
    <row r="258" spans="2:7" ht="13">
      <c r="B258" s="189">
        <v>256</v>
      </c>
      <c r="C258" s="266" t="s">
        <v>2711</v>
      </c>
      <c r="D258" s="266" t="s">
        <v>142</v>
      </c>
      <c r="E258" s="266" t="s">
        <v>144</v>
      </c>
      <c r="F258" s="189"/>
      <c r="G258" s="664" t="s">
        <v>2620</v>
      </c>
    </row>
    <row r="259" spans="2:7" ht="13">
      <c r="B259" s="189">
        <v>257</v>
      </c>
      <c r="C259" s="266" t="s">
        <v>2446</v>
      </c>
      <c r="D259" s="266" t="s">
        <v>142</v>
      </c>
      <c r="E259" s="266" t="s">
        <v>144</v>
      </c>
      <c r="F259" s="189"/>
      <c r="G259" s="664" t="s">
        <v>2620</v>
      </c>
    </row>
    <row r="260" spans="2:7" ht="13">
      <c r="B260" s="189">
        <v>258</v>
      </c>
      <c r="C260" s="266" t="s">
        <v>2712</v>
      </c>
      <c r="D260" s="266" t="s">
        <v>142</v>
      </c>
      <c r="E260" s="266" t="s">
        <v>144</v>
      </c>
      <c r="F260" s="189"/>
      <c r="G260" s="664" t="s">
        <v>2620</v>
      </c>
    </row>
    <row r="261" spans="2:7" ht="13">
      <c r="B261" s="189">
        <v>259</v>
      </c>
      <c r="C261" s="266" t="s">
        <v>2713</v>
      </c>
      <c r="D261" s="266" t="s">
        <v>142</v>
      </c>
      <c r="E261" s="266" t="s">
        <v>144</v>
      </c>
      <c r="F261" s="189"/>
      <c r="G261" s="664" t="s">
        <v>2620</v>
      </c>
    </row>
    <row r="262" spans="2:7" ht="13">
      <c r="B262" s="189">
        <v>260</v>
      </c>
      <c r="C262" s="266" t="s">
        <v>2714</v>
      </c>
      <c r="D262" s="266" t="s">
        <v>142</v>
      </c>
      <c r="E262" s="266" t="s">
        <v>144</v>
      </c>
      <c r="F262" s="189"/>
      <c r="G262" s="664" t="s">
        <v>2620</v>
      </c>
    </row>
    <row r="263" spans="2:7" ht="13">
      <c r="B263" s="189">
        <v>261</v>
      </c>
      <c r="C263" s="266" t="s">
        <v>2715</v>
      </c>
      <c r="D263" s="266" t="s">
        <v>142</v>
      </c>
      <c r="E263" s="266" t="s">
        <v>144</v>
      </c>
      <c r="F263" s="189"/>
      <c r="G263" s="664" t="s">
        <v>2620</v>
      </c>
    </row>
    <row r="264" spans="2:7" ht="13">
      <c r="B264" s="189">
        <v>262</v>
      </c>
      <c r="C264" s="266" t="s">
        <v>2716</v>
      </c>
      <c r="D264" s="266" t="s">
        <v>142</v>
      </c>
      <c r="E264" s="266" t="s">
        <v>144</v>
      </c>
      <c r="F264" s="189"/>
      <c r="G264" s="664" t="s">
        <v>2620</v>
      </c>
    </row>
    <row r="265" spans="2:7" ht="13">
      <c r="B265" s="189">
        <v>263</v>
      </c>
      <c r="C265" s="266" t="s">
        <v>2717</v>
      </c>
      <c r="D265" s="266" t="s">
        <v>142</v>
      </c>
      <c r="E265" s="266" t="s">
        <v>144</v>
      </c>
      <c r="F265" s="189"/>
      <c r="G265" s="664" t="s">
        <v>2620</v>
      </c>
    </row>
    <row r="266" spans="2:7" ht="13">
      <c r="B266" s="189">
        <v>264</v>
      </c>
      <c r="C266" s="266" t="s">
        <v>2718</v>
      </c>
      <c r="D266" s="266" t="s">
        <v>142</v>
      </c>
      <c r="E266" s="266" t="s">
        <v>144</v>
      </c>
      <c r="F266" s="189"/>
      <c r="G266" s="664" t="s">
        <v>2620</v>
      </c>
    </row>
    <row r="267" spans="2:7" ht="13">
      <c r="B267" s="189">
        <v>265</v>
      </c>
      <c r="C267" s="266" t="s">
        <v>2719</v>
      </c>
      <c r="D267" s="266" t="s">
        <v>142</v>
      </c>
      <c r="E267" s="266" t="s">
        <v>144</v>
      </c>
      <c r="F267" s="189"/>
      <c r="G267" s="664" t="s">
        <v>2620</v>
      </c>
    </row>
    <row r="268" spans="2:7" ht="13">
      <c r="B268" s="189">
        <v>266</v>
      </c>
      <c r="C268" s="266" t="s">
        <v>2720</v>
      </c>
      <c r="D268" s="266" t="s">
        <v>142</v>
      </c>
      <c r="E268" s="266" t="s">
        <v>144</v>
      </c>
      <c r="F268" s="189"/>
      <c r="G268" s="664" t="s">
        <v>2620</v>
      </c>
    </row>
    <row r="269" spans="2:7" ht="13">
      <c r="B269" s="189">
        <v>267</v>
      </c>
      <c r="C269" s="266" t="s">
        <v>2721</v>
      </c>
      <c r="D269" s="266" t="s">
        <v>142</v>
      </c>
      <c r="E269" s="266" t="s">
        <v>144</v>
      </c>
      <c r="F269" s="189"/>
      <c r="G269" s="664" t="s">
        <v>2620</v>
      </c>
    </row>
    <row r="270" spans="2:7" ht="13">
      <c r="B270" s="189">
        <v>268</v>
      </c>
      <c r="C270" s="266" t="s">
        <v>2722</v>
      </c>
      <c r="D270" s="266" t="s">
        <v>142</v>
      </c>
      <c r="E270" s="266" t="s">
        <v>144</v>
      </c>
      <c r="F270" s="189"/>
      <c r="G270" s="664" t="s">
        <v>2620</v>
      </c>
    </row>
    <row r="271" spans="2:7" ht="13">
      <c r="B271" s="189">
        <v>269</v>
      </c>
      <c r="C271" s="266" t="s">
        <v>2723</v>
      </c>
      <c r="D271" s="266" t="s">
        <v>144</v>
      </c>
      <c r="E271" s="266" t="s">
        <v>144</v>
      </c>
      <c r="F271" s="189" t="s">
        <v>2724</v>
      </c>
      <c r="G271" s="672" t="s">
        <v>2658</v>
      </c>
    </row>
    <row r="272" spans="2:7" ht="13">
      <c r="B272" s="189">
        <v>270</v>
      </c>
      <c r="C272" s="266" t="s">
        <v>1692</v>
      </c>
      <c r="D272" s="189"/>
      <c r="E272" s="189"/>
      <c r="F272" s="189"/>
      <c r="G272" s="674" t="s">
        <v>2658</v>
      </c>
    </row>
    <row r="273" spans="2:7" ht="13">
      <c r="B273" s="189">
        <v>271</v>
      </c>
      <c r="C273" s="266" t="s">
        <v>1334</v>
      </c>
      <c r="D273" s="189"/>
      <c r="E273" s="189"/>
      <c r="F273" s="189"/>
      <c r="G273" s="674" t="s">
        <v>2658</v>
      </c>
    </row>
    <row r="274" spans="2:7" ht="13">
      <c r="B274" s="189">
        <v>272</v>
      </c>
      <c r="C274" s="266" t="s">
        <v>1345</v>
      </c>
      <c r="D274" s="189"/>
      <c r="E274" s="189"/>
      <c r="F274" s="189"/>
      <c r="G274" s="674" t="s">
        <v>2658</v>
      </c>
    </row>
    <row r="275" spans="2:7" ht="13">
      <c r="B275" s="189">
        <v>273</v>
      </c>
      <c r="C275" s="266" t="s">
        <v>2725</v>
      </c>
      <c r="D275" s="189"/>
      <c r="E275" s="189"/>
      <c r="F275" s="189"/>
      <c r="G275" s="674" t="s">
        <v>2658</v>
      </c>
    </row>
    <row r="276" spans="2:7" ht="13">
      <c r="B276" s="189">
        <v>274</v>
      </c>
      <c r="C276" s="266" t="s">
        <v>2146</v>
      </c>
      <c r="D276" s="189"/>
      <c r="E276" s="189"/>
      <c r="F276" s="189"/>
      <c r="G276" s="674" t="s">
        <v>2658</v>
      </c>
    </row>
    <row r="277" spans="2:7" ht="13">
      <c r="B277" s="189">
        <v>275</v>
      </c>
      <c r="C277" s="266" t="s">
        <v>1639</v>
      </c>
      <c r="D277" s="189"/>
      <c r="E277" s="189"/>
      <c r="F277" s="189"/>
      <c r="G277" s="674" t="s">
        <v>2658</v>
      </c>
    </row>
    <row r="278" spans="2:7" ht="13">
      <c r="B278" s="189">
        <v>276</v>
      </c>
      <c r="C278" s="266" t="s">
        <v>1347</v>
      </c>
      <c r="D278" s="189"/>
      <c r="E278" s="189"/>
      <c r="F278" s="189"/>
      <c r="G278" s="674" t="s">
        <v>2658</v>
      </c>
    </row>
    <row r="279" spans="2:7" ht="13">
      <c r="B279" s="189">
        <v>277</v>
      </c>
      <c r="C279" s="266" t="s">
        <v>2071</v>
      </c>
      <c r="D279" s="189"/>
      <c r="E279" s="189"/>
      <c r="F279" s="189"/>
      <c r="G279" s="674" t="s">
        <v>2658</v>
      </c>
    </row>
    <row r="280" spans="2:7" ht="13">
      <c r="B280" s="189">
        <v>278</v>
      </c>
      <c r="C280" s="266" t="s">
        <v>1535</v>
      </c>
      <c r="D280" s="189"/>
      <c r="E280" s="189"/>
      <c r="F280" s="189"/>
      <c r="G280" s="674" t="s">
        <v>2658</v>
      </c>
    </row>
    <row r="281" spans="2:7" ht="13">
      <c r="B281" s="189">
        <v>279</v>
      </c>
      <c r="C281" s="266" t="s">
        <v>2727</v>
      </c>
      <c r="D281" s="189"/>
      <c r="E281" s="189"/>
      <c r="F281" s="189"/>
      <c r="G281" s="674" t="s">
        <v>2658</v>
      </c>
    </row>
    <row r="282" spans="2:7" ht="13">
      <c r="B282" s="189">
        <v>280</v>
      </c>
      <c r="C282" s="266" t="s">
        <v>2726</v>
      </c>
      <c r="D282" s="189"/>
      <c r="E282" s="189"/>
      <c r="F282" s="189"/>
      <c r="G282" s="674" t="s">
        <v>2658</v>
      </c>
    </row>
    <row r="283" spans="2:7" ht="13">
      <c r="B283" s="189">
        <v>281</v>
      </c>
      <c r="C283" s="189" t="s">
        <v>2596</v>
      </c>
      <c r="D283" s="189"/>
      <c r="E283" s="189"/>
      <c r="F283" s="189"/>
      <c r="G283" s="674" t="s">
        <v>2658</v>
      </c>
    </row>
    <row r="284" spans="2:7" ht="13">
      <c r="B284" s="189">
        <v>282</v>
      </c>
      <c r="C284" s="189" t="s">
        <v>1331</v>
      </c>
      <c r="D284" s="189"/>
      <c r="E284" s="189"/>
      <c r="F284" s="189"/>
      <c r="G284" s="674" t="s">
        <v>2658</v>
      </c>
    </row>
    <row r="285" spans="2:7" ht="13">
      <c r="B285" s="189">
        <v>283</v>
      </c>
      <c r="C285" s="266" t="s">
        <v>2062</v>
      </c>
      <c r="D285" s="189"/>
      <c r="E285" s="189"/>
      <c r="F285" s="189"/>
      <c r="G285" s="674" t="s">
        <v>2658</v>
      </c>
    </row>
    <row r="286" spans="2:7" ht="13">
      <c r="B286" s="189">
        <v>284</v>
      </c>
      <c r="C286" s="266" t="s">
        <v>1350</v>
      </c>
      <c r="D286" s="189"/>
      <c r="E286" s="189"/>
      <c r="F286" s="189"/>
      <c r="G286" s="674" t="s">
        <v>2658</v>
      </c>
    </row>
    <row r="287" spans="2:7" ht="13">
      <c r="B287" s="189">
        <v>285</v>
      </c>
      <c r="C287" s="266" t="s">
        <v>2738</v>
      </c>
      <c r="D287" s="189"/>
      <c r="E287" s="189"/>
      <c r="F287" s="189"/>
      <c r="G287" s="674" t="s">
        <v>2658</v>
      </c>
    </row>
    <row r="288" spans="2:7" ht="13">
      <c r="B288" s="189">
        <v>286</v>
      </c>
      <c r="C288" s="266" t="s">
        <v>2728</v>
      </c>
      <c r="D288" s="189"/>
      <c r="E288" s="189"/>
      <c r="F288" s="189"/>
      <c r="G288" s="674" t="s">
        <v>2658</v>
      </c>
    </row>
    <row r="289" spans="2:7" ht="13">
      <c r="B289" s="189">
        <v>287</v>
      </c>
      <c r="C289" s="266" t="s">
        <v>2730</v>
      </c>
      <c r="D289" s="189"/>
      <c r="E289" s="189"/>
      <c r="F289" s="189"/>
      <c r="G289" s="674" t="s">
        <v>2658</v>
      </c>
    </row>
    <row r="290" spans="2:7" ht="13">
      <c r="B290" s="189">
        <v>288</v>
      </c>
      <c r="C290" s="266" t="s">
        <v>2731</v>
      </c>
      <c r="D290" s="189"/>
      <c r="E290" s="189"/>
      <c r="F290" s="189"/>
      <c r="G290" s="674" t="s">
        <v>2658</v>
      </c>
    </row>
    <row r="291" spans="2:7" ht="13">
      <c r="B291" s="189">
        <v>289</v>
      </c>
      <c r="C291" s="266" t="s">
        <v>1353</v>
      </c>
      <c r="D291" s="189"/>
      <c r="E291" s="189"/>
      <c r="F291" s="189"/>
      <c r="G291" s="674" t="s">
        <v>2658</v>
      </c>
    </row>
    <row r="292" spans="2:7" ht="13">
      <c r="B292" s="189">
        <v>290</v>
      </c>
      <c r="C292" s="266" t="s">
        <v>2602</v>
      </c>
      <c r="D292" s="189"/>
      <c r="E292" s="189"/>
      <c r="F292" s="189"/>
      <c r="G292" s="674" t="s">
        <v>2658</v>
      </c>
    </row>
    <row r="293" spans="2:7" ht="13">
      <c r="B293" s="189">
        <v>291</v>
      </c>
      <c r="C293" s="266" t="s">
        <v>1759</v>
      </c>
      <c r="D293" s="189"/>
      <c r="E293" s="189"/>
      <c r="F293" s="189"/>
      <c r="G293" s="674" t="s">
        <v>2658</v>
      </c>
    </row>
    <row r="294" spans="2:7" ht="13">
      <c r="B294" s="189">
        <v>292</v>
      </c>
      <c r="C294" s="266" t="s">
        <v>2735</v>
      </c>
      <c r="D294" s="189"/>
      <c r="E294" s="189"/>
      <c r="F294" s="189"/>
      <c r="G294" s="674" t="s">
        <v>2658</v>
      </c>
    </row>
    <row r="295" spans="2:7" ht="13">
      <c r="B295" s="189">
        <v>293</v>
      </c>
      <c r="C295" s="266" t="s">
        <v>2736</v>
      </c>
      <c r="D295" s="189"/>
      <c r="E295" s="189"/>
      <c r="F295" s="189"/>
      <c r="G295" s="674" t="s">
        <v>2658</v>
      </c>
    </row>
    <row r="296" spans="2:7" ht="13">
      <c r="B296" s="189">
        <v>294</v>
      </c>
      <c r="C296" s="266" t="s">
        <v>2737</v>
      </c>
      <c r="D296" s="189"/>
      <c r="E296" s="189"/>
      <c r="F296" s="189"/>
      <c r="G296" s="674" t="s">
        <v>2658</v>
      </c>
    </row>
    <row r="297" spans="2:7" ht="13">
      <c r="B297" s="189">
        <v>295</v>
      </c>
      <c r="C297" s="266" t="s">
        <v>2732</v>
      </c>
      <c r="D297" s="189"/>
      <c r="E297" s="189"/>
      <c r="F297" s="189"/>
      <c r="G297" s="674" t="s">
        <v>2658</v>
      </c>
    </row>
    <row r="298" spans="2:7" ht="13">
      <c r="B298" s="189">
        <v>296</v>
      </c>
      <c r="C298" s="266" t="s">
        <v>1483</v>
      </c>
      <c r="D298" s="189"/>
      <c r="E298" s="189"/>
      <c r="F298" s="189"/>
      <c r="G298" s="674" t="s">
        <v>2658</v>
      </c>
    </row>
    <row r="299" spans="2:7" ht="13">
      <c r="B299" s="189">
        <v>297</v>
      </c>
      <c r="C299" s="266" t="s">
        <v>1338</v>
      </c>
      <c r="D299" s="189"/>
      <c r="E299" s="189"/>
      <c r="F299" s="189"/>
      <c r="G299" s="674" t="s">
        <v>2658</v>
      </c>
    </row>
    <row r="300" spans="2:7" ht="13">
      <c r="B300" s="189">
        <v>298</v>
      </c>
      <c r="C300" s="266" t="s">
        <v>2139</v>
      </c>
      <c r="D300" s="189"/>
      <c r="E300" s="189"/>
      <c r="F300" s="189"/>
      <c r="G300" s="674" t="s">
        <v>2658</v>
      </c>
    </row>
    <row r="301" spans="2:7" ht="13">
      <c r="B301" s="189">
        <v>299</v>
      </c>
      <c r="C301" s="266" t="s">
        <v>2733</v>
      </c>
      <c r="D301" s="189"/>
      <c r="E301" s="189"/>
      <c r="F301" s="189"/>
      <c r="G301" s="674" t="s">
        <v>2658</v>
      </c>
    </row>
    <row r="302" spans="2:7" ht="13">
      <c r="B302" s="189">
        <v>300</v>
      </c>
      <c r="C302" s="266" t="s">
        <v>2734</v>
      </c>
      <c r="D302" s="189"/>
      <c r="E302" s="189"/>
      <c r="F302" s="189"/>
      <c r="G302" s="674" t="s">
        <v>2658</v>
      </c>
    </row>
    <row r="303" spans="2:7" ht="13">
      <c r="B303" s="189">
        <v>301</v>
      </c>
      <c r="C303" s="266" t="s">
        <v>1351</v>
      </c>
      <c r="D303" s="189"/>
      <c r="E303" s="189"/>
      <c r="F303" s="189"/>
      <c r="G303" s="674" t="s">
        <v>2658</v>
      </c>
    </row>
  </sheetData>
  <autoFilter ref="B2:G141" xr:uid="{2878D9E9-9B71-4171-A9D6-92FDBD7BAFD1}"/>
  <conditionalFormatting sqref="C3:C303">
    <cfRule type="duplicateValues" dxfId="0" priority="2"/>
  </conditionalFormatting>
  <hyperlinks>
    <hyperlink ref="F43" r:id="rId1" xr:uid="{463BC74C-969A-442C-9DD0-12DEF2F9CA77}"/>
    <hyperlink ref="F50" r:id="rId2" xr:uid="{E77EADD8-3C67-4B71-8A17-BE6C3FFD7196}"/>
    <hyperlink ref="F93" r:id="rId3" xr:uid="{8D51E6C3-723C-4E6C-A7BD-20DE2DBCDAB9}"/>
    <hyperlink ref="F92" r:id="rId4" xr:uid="{8334806C-3BC0-4A33-B94A-5570BDD3F12F}"/>
    <hyperlink ref="F104" r:id="rId5" xr:uid="{D58AC750-B453-4D4E-A0B2-4D96CDA349D7}"/>
    <hyperlink ref="F103" r:id="rId6" xr:uid="{791977E9-5AF8-417D-B0E3-3175332D8D9A}"/>
    <hyperlink ref="F109" r:id="rId7" xr:uid="{D9C7E574-4C1D-4EAC-8602-AD6BD147CCCA}"/>
    <hyperlink ref="F132" r:id="rId8" xr:uid="{EB96157D-D18B-4870-B85C-7B6857047F61}"/>
    <hyperlink ref="F138" r:id="rId9" xr:uid="{1A528E21-46D4-49C4-8AEC-306F18DA4C03}"/>
    <hyperlink ref="F237" r:id="rId10" xr:uid="{0199F21D-13D8-4733-8263-1B87C2EDB7F1}"/>
    <hyperlink ref="F238" r:id="rId11" xr:uid="{313BFC67-50EE-4C19-B17E-274211C5187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D96A-8B46-4AA9-8A25-6ED692E9E20F}">
  <dimension ref="A1:U51"/>
  <sheetViews>
    <sheetView workbookViewId="0"/>
  </sheetViews>
  <sheetFormatPr defaultRowHeight="20" customHeight="1"/>
  <cols>
    <col min="1" max="1" width="11.26953125" style="19" customWidth="1"/>
    <col min="2" max="2" width="20.54296875" style="19" customWidth="1"/>
    <col min="3" max="3" width="19.453125" style="19" customWidth="1"/>
    <col min="4" max="4" width="20.54296875" style="19" customWidth="1"/>
    <col min="5" max="5" width="25.26953125" style="19" customWidth="1"/>
    <col min="6" max="6" width="21.453125" style="19" customWidth="1"/>
    <col min="7" max="7" width="19" style="19" customWidth="1"/>
    <col min="8" max="8" width="14.54296875" style="19" customWidth="1"/>
    <col min="9" max="9" width="20.453125" style="19" customWidth="1"/>
    <col min="10" max="10" width="24.26953125" style="19" customWidth="1"/>
    <col min="11" max="11" width="22" style="19" customWidth="1"/>
    <col min="12" max="12" width="24.54296875" style="19" customWidth="1"/>
    <col min="13" max="13" width="8.7265625" style="19"/>
    <col min="14" max="14" width="21.453125" style="19" customWidth="1"/>
    <col min="15" max="15" width="18.453125" style="19" customWidth="1"/>
    <col min="16" max="16" width="26.54296875" style="19" customWidth="1"/>
    <col min="17" max="17" width="23.81640625" style="19" customWidth="1"/>
    <col min="18" max="18" width="25.1796875" style="19" customWidth="1"/>
    <col min="19" max="19" width="27.453125" style="19" customWidth="1"/>
    <col min="20" max="16384" width="8.7265625" style="19"/>
  </cols>
  <sheetData>
    <row r="1" spans="1:21" ht="20" customHeight="1">
      <c r="A1" s="550" t="s">
        <v>1394</v>
      </c>
      <c r="B1" s="551" t="s">
        <v>1393</v>
      </c>
      <c r="C1" s="552" t="s">
        <v>1395</v>
      </c>
      <c r="D1" s="552" t="s">
        <v>1405</v>
      </c>
      <c r="E1" s="552" t="s">
        <v>2511</v>
      </c>
      <c r="F1" s="552" t="s">
        <v>1396</v>
      </c>
      <c r="G1" s="552" t="s">
        <v>1397</v>
      </c>
      <c r="H1" s="552" t="s">
        <v>1398</v>
      </c>
      <c r="I1" s="552" t="s">
        <v>1399</v>
      </c>
      <c r="J1" s="552" t="s">
        <v>1400</v>
      </c>
      <c r="K1" s="552" t="s">
        <v>1401</v>
      </c>
      <c r="L1" s="552" t="s">
        <v>1402</v>
      </c>
      <c r="M1" s="552" t="s">
        <v>1398</v>
      </c>
      <c r="N1" s="552" t="s">
        <v>1399</v>
      </c>
      <c r="O1" s="552" t="s">
        <v>1400</v>
      </c>
      <c r="P1" s="552" t="s">
        <v>1403</v>
      </c>
      <c r="Q1" s="552" t="s">
        <v>1404</v>
      </c>
      <c r="R1" s="552" t="s">
        <v>1406</v>
      </c>
      <c r="S1" s="551" t="s">
        <v>974</v>
      </c>
      <c r="T1" s="551" t="s">
        <v>974</v>
      </c>
      <c r="U1" s="551" t="s">
        <v>974</v>
      </c>
    </row>
    <row r="2" spans="1:21" ht="20" customHeight="1">
      <c r="A2" s="553" t="s">
        <v>2512</v>
      </c>
      <c r="B2" s="554"/>
      <c r="C2" s="555" t="s">
        <v>974</v>
      </c>
      <c r="D2" s="555" t="s">
        <v>974</v>
      </c>
      <c r="E2" s="555" t="s">
        <v>974</v>
      </c>
      <c r="F2" s="555" t="s">
        <v>974</v>
      </c>
      <c r="G2" s="555" t="s">
        <v>974</v>
      </c>
      <c r="H2" s="555" t="s">
        <v>974</v>
      </c>
      <c r="I2" s="555" t="s">
        <v>974</v>
      </c>
      <c r="J2" s="555" t="s">
        <v>974</v>
      </c>
      <c r="K2" s="555" t="s">
        <v>974</v>
      </c>
      <c r="L2" s="555" t="s">
        <v>974</v>
      </c>
      <c r="M2" s="555" t="s">
        <v>974</v>
      </c>
      <c r="N2" s="555" t="s">
        <v>974</v>
      </c>
      <c r="O2" s="555" t="s">
        <v>974</v>
      </c>
      <c r="P2" s="555" t="s">
        <v>974</v>
      </c>
      <c r="Q2" s="555" t="s">
        <v>974</v>
      </c>
      <c r="R2" s="555" t="s">
        <v>974</v>
      </c>
      <c r="S2" s="366" t="s">
        <v>974</v>
      </c>
      <c r="T2" s="366" t="s">
        <v>974</v>
      </c>
      <c r="U2" s="366" t="s">
        <v>974</v>
      </c>
    </row>
    <row r="3" spans="1:21" ht="20" customHeight="1">
      <c r="A3" s="556" t="s">
        <v>2513</v>
      </c>
      <c r="B3" s="557" t="s">
        <v>52</v>
      </c>
      <c r="C3" s="558" t="s">
        <v>1407</v>
      </c>
      <c r="D3" s="558">
        <v>2</v>
      </c>
      <c r="E3" s="558" t="s">
        <v>1407</v>
      </c>
      <c r="F3" s="558" t="s">
        <v>563</v>
      </c>
      <c r="G3" s="558" t="s">
        <v>564</v>
      </c>
      <c r="H3" s="558" t="s">
        <v>1408</v>
      </c>
      <c r="I3" s="558" t="s">
        <v>567</v>
      </c>
      <c r="J3" s="558" t="s">
        <v>1409</v>
      </c>
      <c r="K3" s="558" t="s">
        <v>404</v>
      </c>
      <c r="L3" s="558" t="s">
        <v>405</v>
      </c>
      <c r="M3" s="558" t="s">
        <v>1408</v>
      </c>
      <c r="N3" s="558" t="s">
        <v>70</v>
      </c>
      <c r="O3" s="558" t="s">
        <v>407</v>
      </c>
      <c r="P3" s="559" t="s">
        <v>1410</v>
      </c>
      <c r="Q3" s="558" t="s">
        <v>1411</v>
      </c>
      <c r="R3" s="558" t="s">
        <v>1412</v>
      </c>
      <c r="S3" s="557" t="s">
        <v>974</v>
      </c>
      <c r="T3" s="557" t="s">
        <v>974</v>
      </c>
      <c r="U3" s="557" t="s">
        <v>974</v>
      </c>
    </row>
    <row r="4" spans="1:21" ht="20" customHeight="1">
      <c r="A4" s="560" t="s">
        <v>2514</v>
      </c>
      <c r="B4" s="561" t="s">
        <v>52</v>
      </c>
      <c r="C4" s="562" t="s">
        <v>1637</v>
      </c>
      <c r="D4" s="562" t="s">
        <v>1418</v>
      </c>
      <c r="E4" s="562" t="s">
        <v>1637</v>
      </c>
      <c r="F4" s="562" t="s">
        <v>1810</v>
      </c>
      <c r="G4" s="562" t="s">
        <v>1413</v>
      </c>
      <c r="H4" s="562" t="s">
        <v>1408</v>
      </c>
      <c r="I4" s="563" t="s">
        <v>58</v>
      </c>
      <c r="J4" s="562" t="s">
        <v>1414</v>
      </c>
      <c r="K4" s="562" t="s">
        <v>1811</v>
      </c>
      <c r="L4" s="562" t="s">
        <v>689</v>
      </c>
      <c r="M4" s="562" t="s">
        <v>1408</v>
      </c>
      <c r="N4" s="563" t="s">
        <v>60</v>
      </c>
      <c r="O4" s="562" t="s">
        <v>1415</v>
      </c>
      <c r="P4" s="563" t="s">
        <v>1416</v>
      </c>
      <c r="Q4" s="562" t="s">
        <v>1417</v>
      </c>
      <c r="R4" s="562" t="s">
        <v>1419</v>
      </c>
      <c r="S4" s="561" t="s">
        <v>1502</v>
      </c>
      <c r="T4" s="561" t="s">
        <v>974</v>
      </c>
      <c r="U4" s="561" t="s">
        <v>974</v>
      </c>
    </row>
    <row r="5" spans="1:21" ht="20" customHeight="1">
      <c r="A5" s="564"/>
      <c r="B5" s="561" t="s">
        <v>52</v>
      </c>
      <c r="C5" s="562" t="s">
        <v>1638</v>
      </c>
      <c r="D5" s="562" t="s">
        <v>1445</v>
      </c>
      <c r="E5" s="562" t="s">
        <v>1638</v>
      </c>
      <c r="F5" s="562" t="s">
        <v>1812</v>
      </c>
      <c r="G5" s="562" t="s">
        <v>1438</v>
      </c>
      <c r="H5" s="562" t="s">
        <v>1408</v>
      </c>
      <c r="I5" s="563" t="s">
        <v>65</v>
      </c>
      <c r="J5" s="562" t="s">
        <v>1439</v>
      </c>
      <c r="K5" s="562" t="s">
        <v>1440</v>
      </c>
      <c r="L5" s="562" t="s">
        <v>1441</v>
      </c>
      <c r="M5" s="562" t="s">
        <v>1431</v>
      </c>
      <c r="N5" s="562" t="s">
        <v>1442</v>
      </c>
      <c r="O5" s="561" t="s">
        <v>974</v>
      </c>
      <c r="P5" s="563" t="s">
        <v>1443</v>
      </c>
      <c r="Q5" s="562" t="s">
        <v>1444</v>
      </c>
      <c r="R5" s="562" t="s">
        <v>1446</v>
      </c>
      <c r="S5" s="561" t="s">
        <v>974</v>
      </c>
      <c r="T5" s="561" t="s">
        <v>974</v>
      </c>
      <c r="U5" s="561" t="s">
        <v>974</v>
      </c>
    </row>
    <row r="6" spans="1:21" ht="20" customHeight="1">
      <c r="A6" s="565" t="s">
        <v>2515</v>
      </c>
      <c r="B6" s="566" t="s">
        <v>52</v>
      </c>
      <c r="C6" s="567" t="s">
        <v>1635</v>
      </c>
      <c r="D6" s="567" t="s">
        <v>1436</v>
      </c>
      <c r="E6" s="567" t="s">
        <v>1635</v>
      </c>
      <c r="F6" s="567" t="s">
        <v>1425</v>
      </c>
      <c r="G6" s="567" t="s">
        <v>1426</v>
      </c>
      <c r="H6" s="567" t="s">
        <v>1408</v>
      </c>
      <c r="I6" s="567" t="s">
        <v>1427</v>
      </c>
      <c r="J6" s="567" t="s">
        <v>1428</v>
      </c>
      <c r="K6" s="567" t="s">
        <v>1429</v>
      </c>
      <c r="L6" s="567" t="s">
        <v>1430</v>
      </c>
      <c r="M6" s="567" t="s">
        <v>1431</v>
      </c>
      <c r="N6" s="567" t="s">
        <v>1432</v>
      </c>
      <c r="O6" s="567" t="s">
        <v>1433</v>
      </c>
      <c r="P6" s="568" t="s">
        <v>1434</v>
      </c>
      <c r="Q6" s="567" t="s">
        <v>1435</v>
      </c>
      <c r="R6" s="567" t="s">
        <v>1437</v>
      </c>
      <c r="S6" s="566" t="s">
        <v>974</v>
      </c>
      <c r="T6" s="566" t="s">
        <v>974</v>
      </c>
      <c r="U6" s="566" t="s">
        <v>974</v>
      </c>
    </row>
    <row r="7" spans="1:21" ht="20" customHeight="1">
      <c r="A7" s="569"/>
      <c r="B7" s="570" t="s">
        <v>52</v>
      </c>
      <c r="C7" s="570" t="s">
        <v>1636</v>
      </c>
      <c r="D7" s="567" t="s">
        <v>862</v>
      </c>
      <c r="E7" s="570" t="s">
        <v>1636</v>
      </c>
      <c r="F7" s="570" t="s">
        <v>536</v>
      </c>
      <c r="G7" s="570" t="s">
        <v>537</v>
      </c>
      <c r="H7" s="570" t="s">
        <v>1408</v>
      </c>
      <c r="I7" s="571" t="s">
        <v>539</v>
      </c>
      <c r="J7" s="570" t="s">
        <v>538</v>
      </c>
      <c r="K7" s="570" t="s">
        <v>974</v>
      </c>
      <c r="L7" s="570" t="s">
        <v>974</v>
      </c>
      <c r="M7" s="570" t="s">
        <v>974</v>
      </c>
      <c r="N7" s="570" t="s">
        <v>974</v>
      </c>
      <c r="O7" s="570" t="s">
        <v>974</v>
      </c>
      <c r="P7" s="571" t="s">
        <v>1632</v>
      </c>
      <c r="Q7" s="570" t="s">
        <v>1633</v>
      </c>
      <c r="R7" s="570" t="s">
        <v>1634</v>
      </c>
      <c r="S7" s="572">
        <v>6.50214E+18</v>
      </c>
      <c r="T7" s="566" t="s">
        <v>974</v>
      </c>
      <c r="U7" s="566" t="s">
        <v>974</v>
      </c>
    </row>
    <row r="8" spans="1:21" ht="20" customHeight="1">
      <c r="A8" s="573" t="s">
        <v>2516</v>
      </c>
      <c r="B8" s="574" t="s">
        <v>52</v>
      </c>
      <c r="C8" s="575" t="s">
        <v>1420</v>
      </c>
      <c r="D8" s="575" t="s">
        <v>1423</v>
      </c>
      <c r="E8" s="575" t="s">
        <v>1420</v>
      </c>
      <c r="F8" s="576" t="s">
        <v>1884</v>
      </c>
      <c r="G8" s="576" t="s">
        <v>1885</v>
      </c>
      <c r="H8" s="575" t="s">
        <v>1408</v>
      </c>
      <c r="I8" s="577" t="s">
        <v>1886</v>
      </c>
      <c r="J8" s="577" t="s">
        <v>1887</v>
      </c>
      <c r="K8" s="577" t="s">
        <v>1888</v>
      </c>
      <c r="L8" s="577" t="s">
        <v>1889</v>
      </c>
      <c r="M8" s="577" t="s">
        <v>1408</v>
      </c>
      <c r="N8" s="577" t="s">
        <v>1890</v>
      </c>
      <c r="O8" s="577" t="s">
        <v>1891</v>
      </c>
      <c r="P8" s="578" t="s">
        <v>1421</v>
      </c>
      <c r="Q8" s="575" t="s">
        <v>1422</v>
      </c>
      <c r="R8" s="575" t="s">
        <v>1424</v>
      </c>
      <c r="S8" s="574" t="s">
        <v>974</v>
      </c>
      <c r="T8" s="574" t="s">
        <v>974</v>
      </c>
      <c r="U8" s="574" t="s">
        <v>974</v>
      </c>
    </row>
    <row r="9" spans="1:21" ht="20" customHeight="1">
      <c r="A9" s="345"/>
      <c r="B9" s="592"/>
      <c r="C9" s="592"/>
      <c r="D9" s="593"/>
      <c r="E9" s="593"/>
      <c r="F9" s="592"/>
      <c r="G9" s="592"/>
      <c r="H9" s="592"/>
      <c r="I9" s="592"/>
      <c r="J9" s="592"/>
      <c r="K9" s="592"/>
      <c r="L9" s="592"/>
      <c r="M9" s="592"/>
      <c r="N9" s="592"/>
      <c r="O9" s="592"/>
      <c r="P9" s="594"/>
      <c r="Q9" s="592"/>
      <c r="R9" s="592"/>
      <c r="S9" s="592"/>
      <c r="T9" s="345"/>
      <c r="U9" s="345"/>
    </row>
    <row r="10" spans="1:21" ht="20" customHeight="1">
      <c r="A10" s="553" t="s">
        <v>2517</v>
      </c>
      <c r="B10" s="554"/>
      <c r="C10" s="345"/>
      <c r="D10" s="345"/>
      <c r="E10" s="345"/>
      <c r="F10" s="345"/>
      <c r="G10" s="345"/>
      <c r="H10" s="345"/>
      <c r="I10" s="345"/>
      <c r="J10" s="345"/>
      <c r="K10" s="345"/>
      <c r="L10" s="345"/>
      <c r="M10" s="345"/>
      <c r="N10" s="345"/>
      <c r="O10" s="345"/>
      <c r="P10" s="345"/>
      <c r="Q10" s="345"/>
      <c r="R10" s="345"/>
      <c r="S10" s="345"/>
      <c r="T10" s="345"/>
      <c r="U10" s="345"/>
    </row>
    <row r="11" spans="1:21" ht="20" customHeight="1">
      <c r="A11" s="595" t="s">
        <v>1394</v>
      </c>
      <c r="B11" s="596" t="s">
        <v>1393</v>
      </c>
      <c r="C11" s="552" t="s">
        <v>1395</v>
      </c>
      <c r="D11" s="552" t="s">
        <v>1405</v>
      </c>
      <c r="E11" s="552" t="s">
        <v>2511</v>
      </c>
      <c r="F11" s="552" t="s">
        <v>1396</v>
      </c>
      <c r="G11" s="552" t="s">
        <v>1397</v>
      </c>
      <c r="H11" s="552" t="s">
        <v>1398</v>
      </c>
      <c r="I11" s="552" t="s">
        <v>1399</v>
      </c>
      <c r="J11" s="552" t="s">
        <v>1400</v>
      </c>
      <c r="K11" s="552" t="s">
        <v>1401</v>
      </c>
      <c r="L11" s="552" t="s">
        <v>1402</v>
      </c>
      <c r="M11" s="552" t="s">
        <v>1398</v>
      </c>
      <c r="N11" s="552" t="s">
        <v>1399</v>
      </c>
      <c r="O11" s="552" t="s">
        <v>1400</v>
      </c>
      <c r="P11" s="552" t="s">
        <v>1403</v>
      </c>
      <c r="Q11" s="552" t="s">
        <v>1404</v>
      </c>
      <c r="R11" s="552" t="s">
        <v>1406</v>
      </c>
      <c r="S11" s="551" t="s">
        <v>974</v>
      </c>
      <c r="T11" s="551" t="s">
        <v>974</v>
      </c>
      <c r="U11" s="551" t="s">
        <v>974</v>
      </c>
    </row>
    <row r="12" spans="1:21" ht="20" customHeight="1">
      <c r="A12" s="597" t="s">
        <v>2513</v>
      </c>
      <c r="B12" s="598" t="s">
        <v>1447</v>
      </c>
      <c r="C12" s="598" t="s">
        <v>1556</v>
      </c>
      <c r="D12" s="599">
        <v>2</v>
      </c>
      <c r="E12" s="598" t="s">
        <v>1556</v>
      </c>
      <c r="F12" s="598" t="s">
        <v>1557</v>
      </c>
      <c r="G12" s="598" t="s">
        <v>1558</v>
      </c>
      <c r="H12" s="598" t="s">
        <v>1408</v>
      </c>
      <c r="I12" s="598" t="s">
        <v>1559</v>
      </c>
      <c r="J12" s="598" t="s">
        <v>1560</v>
      </c>
      <c r="K12" s="598" t="s">
        <v>572</v>
      </c>
      <c r="L12" s="598" t="s">
        <v>1561</v>
      </c>
      <c r="M12" s="598" t="s">
        <v>1408</v>
      </c>
      <c r="N12" s="598" t="s">
        <v>1562</v>
      </c>
      <c r="O12" s="598" t="s">
        <v>1563</v>
      </c>
      <c r="P12" s="600" t="s">
        <v>1564</v>
      </c>
      <c r="Q12" s="598" t="s">
        <v>1565</v>
      </c>
      <c r="R12" s="598" t="s">
        <v>1566</v>
      </c>
      <c r="S12" s="601">
        <v>6.4956E+18</v>
      </c>
      <c r="T12" s="602" t="s">
        <v>974</v>
      </c>
      <c r="U12" s="602" t="s">
        <v>974</v>
      </c>
    </row>
    <row r="13" spans="1:21" ht="48" customHeight="1">
      <c r="A13" s="603"/>
      <c r="B13" s="557" t="s">
        <v>1447</v>
      </c>
      <c r="C13" s="558" t="s">
        <v>1448</v>
      </c>
      <c r="D13" s="558">
        <v>4</v>
      </c>
      <c r="E13" s="558" t="s">
        <v>1448</v>
      </c>
      <c r="F13" s="558" t="s">
        <v>1449</v>
      </c>
      <c r="G13" s="558" t="s">
        <v>1450</v>
      </c>
      <c r="H13" s="558" t="s">
        <v>1431</v>
      </c>
      <c r="I13" s="558" t="s">
        <v>1451</v>
      </c>
      <c r="J13" s="558" t="s">
        <v>1452</v>
      </c>
      <c r="K13" s="558" t="s">
        <v>1453</v>
      </c>
      <c r="L13" s="558" t="s">
        <v>386</v>
      </c>
      <c r="M13" s="558" t="s">
        <v>1408</v>
      </c>
      <c r="N13" s="558" t="s">
        <v>1454</v>
      </c>
      <c r="O13" s="558" t="s">
        <v>1455</v>
      </c>
      <c r="P13" s="559" t="s">
        <v>1456</v>
      </c>
      <c r="Q13" s="558" t="s">
        <v>1457</v>
      </c>
      <c r="R13" s="558" t="s">
        <v>1458</v>
      </c>
      <c r="S13" s="558" t="s">
        <v>974</v>
      </c>
      <c r="T13" s="557" t="s">
        <v>974</v>
      </c>
      <c r="U13" s="557" t="s">
        <v>974</v>
      </c>
    </row>
    <row r="14" spans="1:21" ht="20" customHeight="1">
      <c r="A14" s="604" t="s">
        <v>2514</v>
      </c>
      <c r="B14" s="562" t="s">
        <v>1447</v>
      </c>
      <c r="C14" s="562" t="s">
        <v>1459</v>
      </c>
      <c r="D14" s="562">
        <v>4</v>
      </c>
      <c r="E14" s="562" t="s">
        <v>1459</v>
      </c>
      <c r="F14" s="562" t="s">
        <v>1460</v>
      </c>
      <c r="G14" s="562" t="s">
        <v>1461</v>
      </c>
      <c r="H14" s="562" t="s">
        <v>1408</v>
      </c>
      <c r="I14" s="562" t="s">
        <v>1462</v>
      </c>
      <c r="J14" s="562" t="s">
        <v>1463</v>
      </c>
      <c r="K14" s="562" t="s">
        <v>1464</v>
      </c>
      <c r="L14" s="562" t="s">
        <v>1465</v>
      </c>
      <c r="M14" s="562" t="s">
        <v>1408</v>
      </c>
      <c r="N14" s="562" t="s">
        <v>1466</v>
      </c>
      <c r="O14" s="562" t="s">
        <v>1467</v>
      </c>
      <c r="P14" s="563" t="s">
        <v>1468</v>
      </c>
      <c r="Q14" s="562" t="s">
        <v>1469</v>
      </c>
      <c r="R14" s="562" t="s">
        <v>1470</v>
      </c>
      <c r="S14" s="562" t="s">
        <v>974</v>
      </c>
      <c r="T14" s="561" t="s">
        <v>974</v>
      </c>
      <c r="U14" s="561" t="s">
        <v>974</v>
      </c>
    </row>
    <row r="15" spans="1:21" ht="20" customHeight="1">
      <c r="A15" s="605" t="s">
        <v>2515</v>
      </c>
      <c r="B15" s="567" t="s">
        <v>1447</v>
      </c>
      <c r="C15" s="567" t="s">
        <v>1471</v>
      </c>
      <c r="D15" s="567">
        <v>2</v>
      </c>
      <c r="E15" s="567" t="s">
        <v>1471</v>
      </c>
      <c r="F15" s="567" t="s">
        <v>1472</v>
      </c>
      <c r="G15" s="567" t="s">
        <v>2591</v>
      </c>
      <c r="H15" s="567" t="s">
        <v>1408</v>
      </c>
      <c r="I15" s="567"/>
      <c r="J15" s="567" t="s">
        <v>1474</v>
      </c>
      <c r="K15" s="567" t="s">
        <v>2592</v>
      </c>
      <c r="L15" s="567" t="s">
        <v>974</v>
      </c>
      <c r="M15" s="567" t="s">
        <v>2352</v>
      </c>
      <c r="N15" s="567" t="s">
        <v>974</v>
      </c>
      <c r="O15" s="567" t="s">
        <v>974</v>
      </c>
      <c r="P15" s="568" t="s">
        <v>1475</v>
      </c>
      <c r="Q15" s="567" t="s">
        <v>1476</v>
      </c>
      <c r="R15" s="567" t="s">
        <v>1477</v>
      </c>
      <c r="S15" s="567" t="s">
        <v>974</v>
      </c>
      <c r="T15" s="566" t="s">
        <v>974</v>
      </c>
      <c r="U15" s="566" t="s">
        <v>974</v>
      </c>
    </row>
    <row r="16" spans="1:21" ht="20" customHeight="1">
      <c r="A16" s="573" t="s">
        <v>2516</v>
      </c>
      <c r="B16" s="577" t="s">
        <v>1447</v>
      </c>
      <c r="C16" s="577" t="s">
        <v>2327</v>
      </c>
      <c r="D16" s="575" t="s">
        <v>2338</v>
      </c>
      <c r="E16" s="577" t="s">
        <v>2327</v>
      </c>
      <c r="F16" s="577" t="s">
        <v>2328</v>
      </c>
      <c r="G16" s="577" t="s">
        <v>2329</v>
      </c>
      <c r="H16" s="577" t="s">
        <v>1408</v>
      </c>
      <c r="I16" s="577" t="s">
        <v>2330</v>
      </c>
      <c r="J16" s="577" t="s">
        <v>2331</v>
      </c>
      <c r="K16" s="577" t="s">
        <v>2332</v>
      </c>
      <c r="L16" s="577" t="s">
        <v>2333</v>
      </c>
      <c r="M16" s="577" t="s">
        <v>1408</v>
      </c>
      <c r="N16" s="577" t="s">
        <v>2334</v>
      </c>
      <c r="O16" s="577" t="s">
        <v>2335</v>
      </c>
      <c r="P16" s="606" t="s">
        <v>2336</v>
      </c>
      <c r="Q16" s="577" t="s">
        <v>2337</v>
      </c>
      <c r="R16" s="575" t="s">
        <v>2339</v>
      </c>
      <c r="S16" s="607">
        <v>6.50061E+18</v>
      </c>
      <c r="T16" s="577" t="s">
        <v>974</v>
      </c>
      <c r="U16" s="574" t="s">
        <v>974</v>
      </c>
    </row>
    <row r="17" spans="1:21" ht="20" customHeight="1">
      <c r="A17" s="345"/>
      <c r="B17" s="345"/>
      <c r="C17" s="345"/>
      <c r="D17" s="345"/>
      <c r="E17" s="345"/>
      <c r="F17" s="345"/>
      <c r="G17" s="345"/>
      <c r="H17" s="345"/>
      <c r="I17" s="345"/>
      <c r="J17" s="345"/>
      <c r="K17" s="345"/>
      <c r="L17" s="345"/>
      <c r="M17" s="345"/>
      <c r="N17" s="345"/>
      <c r="O17" s="345"/>
      <c r="P17" s="345"/>
      <c r="Q17" s="345"/>
      <c r="R17" s="345"/>
      <c r="S17" s="345"/>
      <c r="T17" s="345"/>
      <c r="U17" s="345"/>
    </row>
    <row r="18" spans="1:21" ht="20" customHeight="1">
      <c r="A18" s="345"/>
      <c r="B18" s="345"/>
      <c r="C18" s="345"/>
      <c r="D18" s="345"/>
      <c r="E18" s="345"/>
      <c r="F18" s="345"/>
      <c r="G18" s="345"/>
      <c r="H18" s="345"/>
      <c r="I18" s="345"/>
      <c r="J18" s="345"/>
      <c r="K18" s="345"/>
      <c r="L18" s="345"/>
      <c r="M18" s="345"/>
      <c r="N18" s="345"/>
      <c r="O18" s="345"/>
      <c r="P18" s="345"/>
      <c r="Q18" s="345"/>
      <c r="R18" s="345"/>
      <c r="S18" s="345"/>
      <c r="T18" s="345"/>
      <c r="U18" s="345"/>
    </row>
    <row r="19" spans="1:21" ht="20" customHeight="1">
      <c r="A19" s="608" t="s">
        <v>2518</v>
      </c>
      <c r="B19" s="609"/>
      <c r="C19" s="592"/>
      <c r="D19" s="593"/>
      <c r="E19" s="593"/>
      <c r="F19" s="592"/>
      <c r="G19" s="592"/>
      <c r="H19" s="592"/>
      <c r="I19" s="592"/>
      <c r="J19" s="592"/>
      <c r="K19" s="592"/>
      <c r="L19" s="592"/>
      <c r="M19" s="592"/>
      <c r="N19" s="592"/>
      <c r="O19" s="592"/>
      <c r="P19" s="594"/>
      <c r="Q19" s="592"/>
      <c r="R19" s="592"/>
      <c r="S19" s="592"/>
      <c r="T19" s="345"/>
      <c r="U19" s="345"/>
    </row>
    <row r="20" spans="1:21" ht="20" customHeight="1">
      <c r="A20" s="595" t="s">
        <v>1394</v>
      </c>
      <c r="B20" s="596" t="s">
        <v>1393</v>
      </c>
      <c r="C20" s="552" t="s">
        <v>1395</v>
      </c>
      <c r="D20" s="552" t="s">
        <v>1405</v>
      </c>
      <c r="E20" s="552" t="s">
        <v>2511</v>
      </c>
      <c r="F20" s="552" t="s">
        <v>1396</v>
      </c>
      <c r="G20" s="552" t="s">
        <v>1397</v>
      </c>
      <c r="H20" s="552" t="s">
        <v>1398</v>
      </c>
      <c r="I20" s="552" t="s">
        <v>1399</v>
      </c>
      <c r="J20" s="552" t="s">
        <v>1400</v>
      </c>
      <c r="K20" s="552" t="s">
        <v>1401</v>
      </c>
      <c r="L20" s="552" t="s">
        <v>1402</v>
      </c>
      <c r="M20" s="552" t="s">
        <v>1398</v>
      </c>
      <c r="N20" s="552" t="s">
        <v>1399</v>
      </c>
      <c r="O20" s="552" t="s">
        <v>1400</v>
      </c>
      <c r="P20" s="552" t="s">
        <v>1403</v>
      </c>
      <c r="Q20" s="552" t="s">
        <v>1404</v>
      </c>
      <c r="R20" s="552" t="s">
        <v>1406</v>
      </c>
      <c r="S20" s="551" t="s">
        <v>974</v>
      </c>
      <c r="T20" s="551" t="s">
        <v>974</v>
      </c>
      <c r="U20" s="551" t="s">
        <v>974</v>
      </c>
    </row>
    <row r="21" spans="1:21" ht="20" customHeight="1">
      <c r="A21" s="556" t="s">
        <v>2513</v>
      </c>
      <c r="B21" s="557" t="s">
        <v>93</v>
      </c>
      <c r="C21" s="557" t="s">
        <v>2519</v>
      </c>
      <c r="D21" s="557">
        <v>3</v>
      </c>
      <c r="E21" s="557" t="s">
        <v>2519</v>
      </c>
      <c r="F21" s="557" t="s">
        <v>2520</v>
      </c>
      <c r="G21" s="557" t="s">
        <v>2521</v>
      </c>
      <c r="H21" s="557" t="s">
        <v>1408</v>
      </c>
      <c r="I21" s="557" t="s">
        <v>2384</v>
      </c>
      <c r="J21" s="557" t="s">
        <v>2522</v>
      </c>
      <c r="K21" s="557" t="s">
        <v>2523</v>
      </c>
      <c r="L21" s="557" t="s">
        <v>2524</v>
      </c>
      <c r="M21" s="557" t="s">
        <v>1408</v>
      </c>
      <c r="N21" s="557" t="s">
        <v>2386</v>
      </c>
      <c r="O21" s="557" t="s">
        <v>2525</v>
      </c>
      <c r="P21" s="610" t="s">
        <v>2526</v>
      </c>
      <c r="Q21" s="557" t="s">
        <v>2527</v>
      </c>
      <c r="R21" s="557" t="s">
        <v>2528</v>
      </c>
      <c r="S21" s="611">
        <v>6.50696E+18</v>
      </c>
      <c r="T21" s="557" t="s">
        <v>974</v>
      </c>
      <c r="U21" s="557" t="s">
        <v>974</v>
      </c>
    </row>
    <row r="22" spans="1:21" ht="20" customHeight="1">
      <c r="A22" s="560" t="s">
        <v>2514</v>
      </c>
      <c r="B22" s="612" t="s">
        <v>93</v>
      </c>
      <c r="C22" s="612" t="s">
        <v>1732</v>
      </c>
      <c r="D22" s="562">
        <v>4</v>
      </c>
      <c r="E22" s="612" t="s">
        <v>1732</v>
      </c>
      <c r="F22" s="612" t="s">
        <v>1733</v>
      </c>
      <c r="G22" s="612" t="s">
        <v>482</v>
      </c>
      <c r="H22" s="612" t="s">
        <v>1408</v>
      </c>
      <c r="I22" s="612" t="s">
        <v>1734</v>
      </c>
      <c r="J22" s="612" t="s">
        <v>1735</v>
      </c>
      <c r="K22" s="612" t="s">
        <v>2529</v>
      </c>
      <c r="L22" s="612" t="s">
        <v>515</v>
      </c>
      <c r="M22" s="612" t="s">
        <v>1431</v>
      </c>
      <c r="N22" s="613" t="s">
        <v>1747</v>
      </c>
      <c r="O22" s="612" t="s">
        <v>1738</v>
      </c>
      <c r="P22" s="613" t="s">
        <v>1739</v>
      </c>
      <c r="Q22" s="612" t="s">
        <v>1740</v>
      </c>
      <c r="R22" s="612" t="s">
        <v>1741</v>
      </c>
      <c r="S22" s="614">
        <v>6.50269E+18</v>
      </c>
      <c r="T22" s="561" t="s">
        <v>974</v>
      </c>
      <c r="U22" s="561" t="s">
        <v>974</v>
      </c>
    </row>
    <row r="23" spans="1:21" ht="20" customHeight="1">
      <c r="A23" s="560"/>
      <c r="B23" s="612" t="s">
        <v>93</v>
      </c>
      <c r="C23" s="612" t="s">
        <v>1582</v>
      </c>
      <c r="D23" s="612">
        <v>3</v>
      </c>
      <c r="E23" s="615" t="s">
        <v>974</v>
      </c>
      <c r="F23" s="615" t="s">
        <v>1661</v>
      </c>
      <c r="G23" s="615" t="s">
        <v>611</v>
      </c>
      <c r="H23" s="612" t="s">
        <v>1408</v>
      </c>
      <c r="I23" s="615" t="s">
        <v>1663</v>
      </c>
      <c r="J23" s="612" t="s">
        <v>1586</v>
      </c>
      <c r="K23" s="612" t="s">
        <v>974</v>
      </c>
      <c r="L23" s="612" t="s">
        <v>974</v>
      </c>
      <c r="M23" s="612" t="s">
        <v>974</v>
      </c>
      <c r="N23" s="612" t="s">
        <v>974</v>
      </c>
      <c r="O23" s="612" t="s">
        <v>974</v>
      </c>
      <c r="P23" s="613" t="s">
        <v>1587</v>
      </c>
      <c r="Q23" s="612" t="s">
        <v>1588</v>
      </c>
      <c r="R23" s="562" t="s">
        <v>1589</v>
      </c>
      <c r="S23" s="614">
        <v>6.50156E+18</v>
      </c>
      <c r="T23" s="561" t="s">
        <v>974</v>
      </c>
      <c r="U23" s="561" t="s">
        <v>974</v>
      </c>
    </row>
    <row r="24" spans="1:21" ht="20" customHeight="1">
      <c r="A24" s="591"/>
      <c r="B24" s="612" t="s">
        <v>93</v>
      </c>
      <c r="C24" s="612" t="s">
        <v>1727</v>
      </c>
      <c r="D24" s="612" t="s">
        <v>1730</v>
      </c>
      <c r="E24" s="616"/>
      <c r="F24" s="617"/>
      <c r="G24" s="617"/>
      <c r="H24" s="612" t="s">
        <v>1408</v>
      </c>
      <c r="I24" s="617"/>
      <c r="J24" s="612" t="s">
        <v>1662</v>
      </c>
      <c r="K24" s="612" t="s">
        <v>1654</v>
      </c>
      <c r="L24" s="612" t="s">
        <v>1655</v>
      </c>
      <c r="M24" s="612" t="s">
        <v>1408</v>
      </c>
      <c r="N24" s="612" t="s">
        <v>974</v>
      </c>
      <c r="O24" s="612" t="s">
        <v>1656</v>
      </c>
      <c r="P24" s="613" t="s">
        <v>1728</v>
      </c>
      <c r="Q24" s="612" t="s">
        <v>1729</v>
      </c>
      <c r="R24" s="562" t="s">
        <v>1731</v>
      </c>
      <c r="S24" s="614">
        <v>6.50248E+18</v>
      </c>
      <c r="T24" s="561" t="s">
        <v>974</v>
      </c>
      <c r="U24" s="561" t="s">
        <v>974</v>
      </c>
    </row>
    <row r="25" spans="1:21" ht="20" customHeight="1">
      <c r="A25" s="605" t="s">
        <v>2515</v>
      </c>
      <c r="B25" s="566" t="s">
        <v>93</v>
      </c>
      <c r="C25" s="566" t="s">
        <v>364</v>
      </c>
      <c r="D25" s="566">
        <v>3</v>
      </c>
      <c r="E25" s="566" t="s">
        <v>364</v>
      </c>
      <c r="F25" s="566" t="s">
        <v>396</v>
      </c>
      <c r="G25" s="566" t="s">
        <v>1532</v>
      </c>
      <c r="H25" s="566" t="s">
        <v>1408</v>
      </c>
      <c r="I25" s="566" t="s">
        <v>399</v>
      </c>
      <c r="J25" s="566" t="s">
        <v>398</v>
      </c>
      <c r="K25" s="566" t="s">
        <v>400</v>
      </c>
      <c r="L25" s="566" t="s">
        <v>327</v>
      </c>
      <c r="M25" s="566" t="s">
        <v>1408</v>
      </c>
      <c r="N25" s="566" t="s">
        <v>88</v>
      </c>
      <c r="O25" s="566" t="s">
        <v>398</v>
      </c>
      <c r="P25" s="618" t="s">
        <v>2530</v>
      </c>
      <c r="Q25" s="566" t="s">
        <v>2531</v>
      </c>
      <c r="R25" s="566" t="s">
        <v>2532</v>
      </c>
      <c r="S25" s="619">
        <v>6.50696E+18</v>
      </c>
      <c r="T25" s="566" t="s">
        <v>974</v>
      </c>
      <c r="U25" s="566" t="s">
        <v>974</v>
      </c>
    </row>
    <row r="26" spans="1:21" ht="20" customHeight="1">
      <c r="A26" s="573" t="s">
        <v>2516</v>
      </c>
      <c r="B26" s="574" t="s">
        <v>93</v>
      </c>
      <c r="C26" s="574" t="s">
        <v>2533</v>
      </c>
      <c r="D26" s="574">
        <v>3</v>
      </c>
      <c r="E26" s="574" t="s">
        <v>2533</v>
      </c>
      <c r="F26" s="574" t="s">
        <v>1464</v>
      </c>
      <c r="G26" s="574" t="s">
        <v>2534</v>
      </c>
      <c r="H26" s="574" t="s">
        <v>1408</v>
      </c>
      <c r="I26" s="574" t="s">
        <v>2385</v>
      </c>
      <c r="J26" s="574" t="s">
        <v>2535</v>
      </c>
      <c r="K26" s="574" t="s">
        <v>2408</v>
      </c>
      <c r="L26" s="574" t="s">
        <v>689</v>
      </c>
      <c r="M26" s="574" t="s">
        <v>1431</v>
      </c>
      <c r="N26" s="574" t="s">
        <v>2387</v>
      </c>
      <c r="O26" s="574" t="s">
        <v>2536</v>
      </c>
      <c r="P26" s="620" t="s">
        <v>2537</v>
      </c>
      <c r="Q26" s="574" t="s">
        <v>2538</v>
      </c>
      <c r="R26" s="574" t="s">
        <v>2539</v>
      </c>
      <c r="S26" s="621">
        <v>6.50694E+18</v>
      </c>
      <c r="T26" s="574" t="s">
        <v>974</v>
      </c>
      <c r="U26" s="574" t="s">
        <v>974</v>
      </c>
    </row>
    <row r="27" spans="1:21" ht="20" customHeight="1">
      <c r="A27" s="365" t="s">
        <v>974</v>
      </c>
      <c r="B27" s="366" t="s">
        <v>974</v>
      </c>
      <c r="C27" s="366" t="s">
        <v>974</v>
      </c>
      <c r="D27" s="366" t="s">
        <v>974</v>
      </c>
      <c r="E27" s="366" t="s">
        <v>974</v>
      </c>
      <c r="F27" s="366" t="s">
        <v>974</v>
      </c>
      <c r="G27" s="366" t="s">
        <v>974</v>
      </c>
      <c r="H27" s="366" t="s">
        <v>974</v>
      </c>
      <c r="I27" s="366" t="s">
        <v>974</v>
      </c>
      <c r="J27" s="366" t="s">
        <v>974</v>
      </c>
      <c r="K27" s="366" t="s">
        <v>974</v>
      </c>
      <c r="L27" s="366" t="s">
        <v>974</v>
      </c>
      <c r="M27" s="366" t="s">
        <v>974</v>
      </c>
      <c r="N27" s="366" t="s">
        <v>974</v>
      </c>
      <c r="O27" s="366" t="s">
        <v>974</v>
      </c>
      <c r="P27" s="367" t="s">
        <v>974</v>
      </c>
      <c r="Q27" s="366" t="s">
        <v>974</v>
      </c>
      <c r="R27" s="366" t="s">
        <v>974</v>
      </c>
      <c r="S27" s="622" t="s">
        <v>974</v>
      </c>
      <c r="T27" s="366" t="s">
        <v>974</v>
      </c>
      <c r="U27" s="366" t="s">
        <v>974</v>
      </c>
    </row>
    <row r="28" spans="1:21" ht="20" customHeight="1">
      <c r="A28" s="623" t="s">
        <v>974</v>
      </c>
      <c r="B28" s="624" t="s">
        <v>974</v>
      </c>
      <c r="C28" s="624" t="s">
        <v>974</v>
      </c>
      <c r="D28" s="624" t="s">
        <v>974</v>
      </c>
      <c r="E28" s="624" t="s">
        <v>974</v>
      </c>
      <c r="F28" s="624" t="s">
        <v>974</v>
      </c>
      <c r="G28" s="624" t="s">
        <v>974</v>
      </c>
      <c r="H28" s="624" t="s">
        <v>974</v>
      </c>
      <c r="I28" s="624" t="s">
        <v>974</v>
      </c>
      <c r="J28" s="624" t="s">
        <v>974</v>
      </c>
      <c r="K28" s="624" t="s">
        <v>974</v>
      </c>
      <c r="L28" s="624" t="s">
        <v>974</v>
      </c>
      <c r="M28" s="624" t="s">
        <v>974</v>
      </c>
      <c r="N28" s="624" t="s">
        <v>974</v>
      </c>
      <c r="O28" s="624" t="s">
        <v>974</v>
      </c>
      <c r="P28" s="624" t="s">
        <v>974</v>
      </c>
      <c r="Q28" s="624" t="s">
        <v>974</v>
      </c>
      <c r="R28" s="624" t="s">
        <v>974</v>
      </c>
      <c r="S28" s="625" t="s">
        <v>974</v>
      </c>
      <c r="T28" s="624" t="s">
        <v>974</v>
      </c>
      <c r="U28" s="624" t="s">
        <v>974</v>
      </c>
    </row>
    <row r="29" spans="1:21" ht="20" customHeight="1">
      <c r="A29" s="345"/>
      <c r="B29" s="345"/>
      <c r="C29" s="345"/>
      <c r="D29" s="345"/>
      <c r="E29" s="345"/>
      <c r="F29" s="345"/>
      <c r="G29" s="345"/>
      <c r="H29" s="345"/>
      <c r="I29" s="345"/>
      <c r="J29" s="345"/>
      <c r="K29" s="345"/>
      <c r="L29" s="345"/>
      <c r="M29" s="345"/>
      <c r="N29" s="345"/>
      <c r="O29" s="345"/>
      <c r="P29" s="345"/>
      <c r="Q29" s="345"/>
      <c r="R29" s="345"/>
      <c r="S29" s="345"/>
      <c r="T29" s="345"/>
      <c r="U29" s="345"/>
    </row>
    <row r="30" spans="1:21" ht="20" customHeight="1">
      <c r="A30" s="345"/>
      <c r="B30" s="345"/>
      <c r="C30" s="345"/>
      <c r="D30" s="345"/>
      <c r="E30" s="345"/>
      <c r="F30" s="345"/>
      <c r="G30" s="345"/>
      <c r="H30" s="345"/>
      <c r="I30" s="345"/>
      <c r="J30" s="345"/>
      <c r="K30" s="345"/>
      <c r="L30" s="345"/>
      <c r="M30" s="345"/>
      <c r="N30" s="345"/>
      <c r="O30" s="345"/>
      <c r="P30" s="626"/>
      <c r="Q30" s="345"/>
      <c r="R30" s="345"/>
      <c r="S30" s="627"/>
      <c r="T30" s="345"/>
      <c r="U30" s="345"/>
    </row>
    <row r="31" spans="1:21" ht="20" customHeight="1">
      <c r="A31" s="553" t="s">
        <v>2540</v>
      </c>
      <c r="B31" s="554"/>
      <c r="C31" s="345"/>
      <c r="D31" s="345"/>
      <c r="E31" s="345"/>
      <c r="F31" s="345"/>
      <c r="G31" s="345"/>
      <c r="H31" s="345"/>
      <c r="I31" s="345"/>
      <c r="J31" s="345"/>
      <c r="K31" s="345"/>
      <c r="L31" s="345"/>
      <c r="M31" s="345"/>
      <c r="N31" s="345"/>
      <c r="O31" s="345"/>
      <c r="P31" s="626"/>
      <c r="Q31" s="345"/>
      <c r="R31" s="345"/>
      <c r="S31" s="627"/>
      <c r="T31" s="345"/>
      <c r="U31" s="345"/>
    </row>
    <row r="32" spans="1:21" ht="20" customHeight="1">
      <c r="A32" s="595" t="s">
        <v>1394</v>
      </c>
      <c r="B32" s="596" t="s">
        <v>1393</v>
      </c>
      <c r="C32" s="552" t="s">
        <v>1395</v>
      </c>
      <c r="D32" s="552" t="s">
        <v>1405</v>
      </c>
      <c r="E32" s="552" t="s">
        <v>2511</v>
      </c>
      <c r="F32" s="552" t="s">
        <v>1396</v>
      </c>
      <c r="G32" s="552" t="s">
        <v>1397</v>
      </c>
      <c r="H32" s="552" t="s">
        <v>1398</v>
      </c>
      <c r="I32" s="552" t="s">
        <v>1399</v>
      </c>
      <c r="J32" s="552" t="s">
        <v>1400</v>
      </c>
      <c r="K32" s="552" t="s">
        <v>1401</v>
      </c>
      <c r="L32" s="552" t="s">
        <v>1402</v>
      </c>
      <c r="M32" s="552" t="s">
        <v>1398</v>
      </c>
      <c r="N32" s="552" t="s">
        <v>1399</v>
      </c>
      <c r="O32" s="552" t="s">
        <v>1400</v>
      </c>
      <c r="P32" s="552" t="s">
        <v>1403</v>
      </c>
      <c r="Q32" s="552" t="s">
        <v>1404</v>
      </c>
      <c r="R32" s="552" t="s">
        <v>1406</v>
      </c>
      <c r="S32" s="551" t="s">
        <v>974</v>
      </c>
      <c r="T32" s="551" t="s">
        <v>974</v>
      </c>
      <c r="U32" s="551" t="s">
        <v>974</v>
      </c>
    </row>
    <row r="33" spans="1:21" ht="20" customHeight="1">
      <c r="A33" s="556" t="s">
        <v>2513</v>
      </c>
      <c r="B33" s="628" t="s">
        <v>104</v>
      </c>
      <c r="C33" s="628" t="s">
        <v>1590</v>
      </c>
      <c r="D33" s="558" t="s">
        <v>1599</v>
      </c>
      <c r="E33" s="628" t="s">
        <v>1590</v>
      </c>
      <c r="F33" s="628" t="s">
        <v>1591</v>
      </c>
      <c r="G33" s="628" t="s">
        <v>1592</v>
      </c>
      <c r="H33" s="628" t="s">
        <v>1408</v>
      </c>
      <c r="I33" s="628" t="s">
        <v>1593</v>
      </c>
      <c r="J33" s="628" t="s">
        <v>1594</v>
      </c>
      <c r="K33" s="628" t="s">
        <v>1813</v>
      </c>
      <c r="L33" s="628" t="s">
        <v>1595</v>
      </c>
      <c r="M33" s="628" t="s">
        <v>1408</v>
      </c>
      <c r="N33" s="628" t="s">
        <v>1574</v>
      </c>
      <c r="O33" s="628" t="s">
        <v>1596</v>
      </c>
      <c r="P33" s="558" t="s">
        <v>1597</v>
      </c>
      <c r="Q33" s="628" t="s">
        <v>1598</v>
      </c>
      <c r="R33" s="558" t="s">
        <v>1600</v>
      </c>
      <c r="S33" s="629">
        <v>6.50159E+18</v>
      </c>
      <c r="T33" s="557" t="s">
        <v>974</v>
      </c>
      <c r="U33" s="557" t="s">
        <v>974</v>
      </c>
    </row>
    <row r="34" spans="1:21" ht="20" customHeight="1">
      <c r="A34" s="560" t="s">
        <v>2514</v>
      </c>
      <c r="B34" s="612" t="s">
        <v>104</v>
      </c>
      <c r="C34" s="630" t="s">
        <v>1757</v>
      </c>
      <c r="D34" s="562" t="s">
        <v>2541</v>
      </c>
      <c r="E34" s="631" t="s">
        <v>974</v>
      </c>
      <c r="F34" s="612" t="s">
        <v>1704</v>
      </c>
      <c r="G34" s="612" t="s">
        <v>1705</v>
      </c>
      <c r="H34" s="612" t="s">
        <v>1408</v>
      </c>
      <c r="I34" s="612" t="s">
        <v>1706</v>
      </c>
      <c r="J34" s="612" t="s">
        <v>1707</v>
      </c>
      <c r="K34" s="612" t="s">
        <v>1708</v>
      </c>
      <c r="L34" s="612" t="s">
        <v>1709</v>
      </c>
      <c r="M34" s="612" t="s">
        <v>1408</v>
      </c>
      <c r="N34" s="612" t="s">
        <v>1710</v>
      </c>
      <c r="O34" s="612" t="s">
        <v>1711</v>
      </c>
      <c r="P34" s="613" t="s">
        <v>1712</v>
      </c>
      <c r="Q34" s="612" t="s">
        <v>1713</v>
      </c>
      <c r="R34" s="562" t="s">
        <v>1715</v>
      </c>
      <c r="S34" s="614">
        <v>6.50245E+18</v>
      </c>
      <c r="T34" s="561" t="s">
        <v>974</v>
      </c>
      <c r="U34" s="561" t="s">
        <v>974</v>
      </c>
    </row>
    <row r="35" spans="1:21" ht="20" customHeight="1">
      <c r="A35" s="560"/>
      <c r="B35" s="612" t="s">
        <v>104</v>
      </c>
      <c r="C35" s="612" t="s">
        <v>2542</v>
      </c>
      <c r="D35" s="562" t="s">
        <v>2541</v>
      </c>
      <c r="E35" s="631"/>
      <c r="F35" s="612" t="s">
        <v>1716</v>
      </c>
      <c r="G35" s="612" t="s">
        <v>1717</v>
      </c>
      <c r="H35" s="612" t="s">
        <v>1408</v>
      </c>
      <c r="I35" s="612" t="s">
        <v>2388</v>
      </c>
      <c r="J35" s="612" t="s">
        <v>1719</v>
      </c>
      <c r="K35" s="612" t="s">
        <v>1720</v>
      </c>
      <c r="L35" s="612" t="s">
        <v>1721</v>
      </c>
      <c r="M35" s="612" t="s">
        <v>1408</v>
      </c>
      <c r="N35" s="612" t="s">
        <v>1722</v>
      </c>
      <c r="O35" s="612" t="s">
        <v>2543</v>
      </c>
      <c r="P35" s="612" t="s">
        <v>2544</v>
      </c>
      <c r="Q35" s="632" t="s">
        <v>1713</v>
      </c>
      <c r="R35" s="562" t="s">
        <v>2545</v>
      </c>
      <c r="S35" s="614">
        <v>6.50246E+18</v>
      </c>
      <c r="T35" s="561" t="s">
        <v>974</v>
      </c>
      <c r="U35" s="561" t="s">
        <v>974</v>
      </c>
    </row>
    <row r="36" spans="1:21" ht="20" customHeight="1">
      <c r="A36" s="560"/>
      <c r="B36" s="612" t="s">
        <v>104</v>
      </c>
      <c r="C36" s="612" t="s">
        <v>1768</v>
      </c>
      <c r="D36" s="562" t="s">
        <v>1725</v>
      </c>
      <c r="E36" s="631"/>
      <c r="F36" s="612" t="s">
        <v>1716</v>
      </c>
      <c r="G36" s="612" t="s">
        <v>1717</v>
      </c>
      <c r="H36" s="612" t="s">
        <v>1408</v>
      </c>
      <c r="I36" s="612" t="s">
        <v>1718</v>
      </c>
      <c r="J36" s="612" t="s">
        <v>1719</v>
      </c>
      <c r="K36" s="612" t="s">
        <v>1720</v>
      </c>
      <c r="L36" s="612" t="s">
        <v>1721</v>
      </c>
      <c r="M36" s="612" t="s">
        <v>1408</v>
      </c>
      <c r="N36" s="612" t="s">
        <v>1722</v>
      </c>
      <c r="O36" s="612" t="s">
        <v>1723</v>
      </c>
      <c r="P36" s="613" t="s">
        <v>1724</v>
      </c>
      <c r="Q36" s="612" t="s">
        <v>1713</v>
      </c>
      <c r="R36" s="562" t="s">
        <v>1726</v>
      </c>
      <c r="S36" s="614">
        <v>6.50248E+18</v>
      </c>
      <c r="T36" s="561" t="s">
        <v>974</v>
      </c>
      <c r="U36" s="561" t="s">
        <v>974</v>
      </c>
    </row>
    <row r="37" spans="1:21" ht="20" customHeight="1">
      <c r="A37" s="560"/>
      <c r="B37" s="612" t="s">
        <v>104</v>
      </c>
      <c r="C37" s="612" t="s">
        <v>2546</v>
      </c>
      <c r="D37" s="562">
        <v>0</v>
      </c>
      <c r="E37" s="631"/>
      <c r="F37" s="612" t="s">
        <v>2547</v>
      </c>
      <c r="G37" s="612" t="s">
        <v>515</v>
      </c>
      <c r="H37" s="612" t="s">
        <v>1408</v>
      </c>
      <c r="I37" s="612" t="s">
        <v>1141</v>
      </c>
      <c r="J37" s="612" t="s">
        <v>393</v>
      </c>
      <c r="K37" s="658" t="s">
        <v>2548</v>
      </c>
      <c r="L37" s="658" t="s">
        <v>2549</v>
      </c>
      <c r="M37" s="612" t="s">
        <v>1408</v>
      </c>
      <c r="N37" s="612" t="s">
        <v>974</v>
      </c>
      <c r="O37" s="612" t="s">
        <v>974</v>
      </c>
      <c r="P37" s="613" t="s">
        <v>2550</v>
      </c>
      <c r="Q37" s="612" t="s">
        <v>2551</v>
      </c>
      <c r="R37" s="612" t="s">
        <v>2552</v>
      </c>
      <c r="S37" s="614">
        <v>6.50691E+18</v>
      </c>
      <c r="T37" s="561" t="s">
        <v>974</v>
      </c>
      <c r="U37" s="561" t="s">
        <v>974</v>
      </c>
    </row>
    <row r="38" spans="1:21" ht="20" customHeight="1">
      <c r="A38" s="560"/>
      <c r="B38" s="612" t="s">
        <v>104</v>
      </c>
      <c r="C38" s="612" t="s">
        <v>2553</v>
      </c>
      <c r="D38" s="562">
        <v>1</v>
      </c>
      <c r="E38" s="631"/>
      <c r="F38" s="658" t="s">
        <v>2554</v>
      </c>
      <c r="G38" s="658" t="s">
        <v>774</v>
      </c>
      <c r="H38" s="612" t="s">
        <v>1408</v>
      </c>
      <c r="I38" s="612" t="s">
        <v>2389</v>
      </c>
      <c r="J38" s="612" t="s">
        <v>2555</v>
      </c>
      <c r="K38" s="658" t="s">
        <v>2556</v>
      </c>
      <c r="L38" s="658" t="s">
        <v>1858</v>
      </c>
      <c r="M38" s="612" t="s">
        <v>1408</v>
      </c>
      <c r="N38" s="612" t="s">
        <v>2391</v>
      </c>
      <c r="O38" s="612" t="s">
        <v>974</v>
      </c>
      <c r="P38" s="613" t="s">
        <v>2557</v>
      </c>
      <c r="Q38" s="612" t="s">
        <v>2558</v>
      </c>
      <c r="R38" s="612" t="s">
        <v>2559</v>
      </c>
      <c r="S38" s="614">
        <v>6.50693E+18</v>
      </c>
      <c r="T38" s="561" t="s">
        <v>974</v>
      </c>
      <c r="U38" s="561" t="s">
        <v>974</v>
      </c>
    </row>
    <row r="39" spans="1:21" ht="20" customHeight="1">
      <c r="A39" s="560"/>
      <c r="B39" s="612" t="s">
        <v>104</v>
      </c>
      <c r="C39" s="612" t="s">
        <v>2560</v>
      </c>
      <c r="D39" s="562">
        <v>0</v>
      </c>
      <c r="E39" s="631"/>
      <c r="F39" s="658" t="s">
        <v>2561</v>
      </c>
      <c r="G39" s="658" t="s">
        <v>2562</v>
      </c>
      <c r="H39" s="612" t="s">
        <v>1408</v>
      </c>
      <c r="I39" s="612" t="s">
        <v>2390</v>
      </c>
      <c r="J39" s="612" t="s">
        <v>2563</v>
      </c>
      <c r="K39" s="612" t="s">
        <v>391</v>
      </c>
      <c r="L39" s="612" t="s">
        <v>2564</v>
      </c>
      <c r="M39" s="612" t="s">
        <v>1408</v>
      </c>
      <c r="N39" s="612" t="s">
        <v>2392</v>
      </c>
      <c r="O39" s="612" t="s">
        <v>974</v>
      </c>
      <c r="P39" s="613" t="s">
        <v>2565</v>
      </c>
      <c r="Q39" s="612" t="s">
        <v>2566</v>
      </c>
      <c r="R39" s="612" t="s">
        <v>2567</v>
      </c>
      <c r="S39" s="614">
        <v>6.50694E+18</v>
      </c>
      <c r="T39" s="561" t="s">
        <v>974</v>
      </c>
      <c r="U39" s="561" t="s">
        <v>974</v>
      </c>
    </row>
    <row r="40" spans="1:21" ht="20" customHeight="1">
      <c r="A40" s="560"/>
      <c r="B40" s="612" t="s">
        <v>104</v>
      </c>
      <c r="C40" s="612" t="s">
        <v>2568</v>
      </c>
      <c r="D40" s="562" t="s">
        <v>862</v>
      </c>
      <c r="E40" s="631"/>
      <c r="F40" s="658" t="s">
        <v>2569</v>
      </c>
      <c r="G40" s="658" t="s">
        <v>2570</v>
      </c>
      <c r="H40" s="612" t="s">
        <v>1408</v>
      </c>
      <c r="I40" s="612" t="s">
        <v>2571</v>
      </c>
      <c r="J40" s="612" t="s">
        <v>2572</v>
      </c>
      <c r="K40" s="658" t="s">
        <v>2573</v>
      </c>
      <c r="L40" s="658" t="s">
        <v>2574</v>
      </c>
      <c r="M40" s="612" t="s">
        <v>1408</v>
      </c>
      <c r="N40" s="612" t="s">
        <v>974</v>
      </c>
      <c r="O40" s="612" t="s">
        <v>974</v>
      </c>
      <c r="P40" s="613" t="s">
        <v>2575</v>
      </c>
      <c r="Q40" s="612" t="s">
        <v>2576</v>
      </c>
      <c r="R40" s="612" t="s">
        <v>2577</v>
      </c>
      <c r="S40" s="614">
        <v>6.50695E+18</v>
      </c>
      <c r="T40" s="561" t="s">
        <v>974</v>
      </c>
      <c r="U40" s="612" t="s">
        <v>974</v>
      </c>
    </row>
    <row r="41" spans="1:21" ht="20" customHeight="1">
      <c r="A41" s="591"/>
      <c r="B41" s="612" t="s">
        <v>104</v>
      </c>
      <c r="C41" s="612" t="s">
        <v>2318</v>
      </c>
      <c r="D41" s="562" t="s">
        <v>2321</v>
      </c>
      <c r="E41" s="633"/>
      <c r="F41" s="612" t="s">
        <v>654</v>
      </c>
      <c r="G41" s="612" t="s">
        <v>655</v>
      </c>
      <c r="H41" s="612" t="s">
        <v>1408</v>
      </c>
      <c r="I41" s="612" t="s">
        <v>658</v>
      </c>
      <c r="J41" s="612" t="s">
        <v>657</v>
      </c>
      <c r="K41" s="612" t="s">
        <v>660</v>
      </c>
      <c r="L41" s="612" t="s">
        <v>661</v>
      </c>
      <c r="M41" s="612" t="s">
        <v>1431</v>
      </c>
      <c r="N41" s="612" t="s">
        <v>663</v>
      </c>
      <c r="O41" s="612" t="s">
        <v>662</v>
      </c>
      <c r="P41" s="613" t="s">
        <v>2319</v>
      </c>
      <c r="Q41" s="612" t="s">
        <v>2320</v>
      </c>
      <c r="R41" s="612" t="s">
        <v>2322</v>
      </c>
      <c r="S41" s="614">
        <v>6.50682E+18</v>
      </c>
      <c r="T41" s="561" t="s">
        <v>974</v>
      </c>
      <c r="U41" s="561" t="s">
        <v>974</v>
      </c>
    </row>
    <row r="42" spans="1:21" ht="20" customHeight="1">
      <c r="A42" s="634" t="s">
        <v>2515</v>
      </c>
      <c r="B42" s="635" t="s">
        <v>104</v>
      </c>
      <c r="C42" s="635" t="s">
        <v>1761</v>
      </c>
      <c r="D42" s="636" t="s">
        <v>1766</v>
      </c>
      <c r="E42" s="635" t="s">
        <v>1761</v>
      </c>
      <c r="F42" s="635" t="s">
        <v>715</v>
      </c>
      <c r="G42" s="635" t="s">
        <v>716</v>
      </c>
      <c r="H42" s="635" t="s">
        <v>1431</v>
      </c>
      <c r="I42" s="635" t="s">
        <v>718</v>
      </c>
      <c r="J42" s="635" t="s">
        <v>717</v>
      </c>
      <c r="K42" s="635" t="s">
        <v>1762</v>
      </c>
      <c r="L42" s="635" t="s">
        <v>321</v>
      </c>
      <c r="M42" s="635" t="s">
        <v>1431</v>
      </c>
      <c r="N42" s="635" t="s">
        <v>738</v>
      </c>
      <c r="O42" s="635" t="s">
        <v>1763</v>
      </c>
      <c r="P42" s="637" t="s">
        <v>1764</v>
      </c>
      <c r="Q42" s="635" t="s">
        <v>1765</v>
      </c>
      <c r="R42" s="635" t="s">
        <v>1767</v>
      </c>
      <c r="S42" s="638">
        <v>6.50413E+18</v>
      </c>
      <c r="T42" s="639" t="s">
        <v>974</v>
      </c>
      <c r="U42" s="639" t="s">
        <v>974</v>
      </c>
    </row>
    <row r="43" spans="1:21" ht="20" customHeight="1">
      <c r="A43" s="640" t="s">
        <v>2516</v>
      </c>
      <c r="B43" s="641" t="s">
        <v>104</v>
      </c>
      <c r="C43" s="641" t="s">
        <v>2282</v>
      </c>
      <c r="D43" s="641" t="s">
        <v>2578</v>
      </c>
      <c r="E43" s="641" t="s">
        <v>2282</v>
      </c>
      <c r="F43" s="641" t="s">
        <v>2277</v>
      </c>
      <c r="G43" s="641" t="s">
        <v>2278</v>
      </c>
      <c r="H43" s="641" t="s">
        <v>1408</v>
      </c>
      <c r="I43" s="641" t="s">
        <v>2280</v>
      </c>
      <c r="J43" s="641" t="s">
        <v>2279</v>
      </c>
      <c r="K43" s="641" t="s">
        <v>2579</v>
      </c>
      <c r="L43" s="641" t="s">
        <v>611</v>
      </c>
      <c r="M43" s="641" t="s">
        <v>1408</v>
      </c>
      <c r="N43" s="642" t="s">
        <v>2393</v>
      </c>
      <c r="O43" s="641" t="s">
        <v>974</v>
      </c>
      <c r="P43" s="641" t="s">
        <v>974</v>
      </c>
      <c r="Q43" s="641" t="s">
        <v>974</v>
      </c>
      <c r="R43" s="641" t="s">
        <v>974</v>
      </c>
      <c r="S43" s="641" t="s">
        <v>974</v>
      </c>
      <c r="T43" s="641" t="s">
        <v>974</v>
      </c>
      <c r="U43" s="641" t="s">
        <v>974</v>
      </c>
    </row>
    <row r="44" spans="1:21" ht="20" customHeight="1">
      <c r="A44" s="345"/>
      <c r="B44" s="592"/>
      <c r="C44" s="592"/>
      <c r="D44" s="593"/>
      <c r="E44" s="593"/>
      <c r="F44" s="592"/>
      <c r="G44" s="592"/>
      <c r="H44" s="592"/>
      <c r="I44" s="592"/>
      <c r="J44" s="592"/>
      <c r="K44" s="592"/>
      <c r="L44" s="592"/>
      <c r="M44" s="592"/>
      <c r="N44" s="592"/>
      <c r="O44" s="592"/>
      <c r="P44" s="594"/>
      <c r="Q44" s="592"/>
      <c r="R44" s="592"/>
      <c r="S44" s="592"/>
      <c r="T44" s="345"/>
      <c r="U44" s="345"/>
    </row>
    <row r="45" spans="1:21" ht="20" customHeight="1">
      <c r="A45" s="345"/>
      <c r="B45" s="592"/>
      <c r="C45" s="592"/>
      <c r="D45" s="593"/>
      <c r="E45" s="593"/>
      <c r="F45" s="592"/>
      <c r="G45" s="592"/>
      <c r="H45" s="592"/>
      <c r="I45" s="592"/>
      <c r="J45" s="592"/>
      <c r="K45" s="592"/>
      <c r="L45" s="592"/>
      <c r="M45" s="592"/>
      <c r="N45" s="592"/>
      <c r="O45" s="592"/>
      <c r="P45" s="594"/>
      <c r="Q45" s="592"/>
      <c r="R45" s="592"/>
      <c r="S45" s="592"/>
      <c r="T45" s="345"/>
      <c r="U45" s="345"/>
    </row>
    <row r="46" spans="1:21" ht="20" customHeight="1">
      <c r="A46" s="553" t="s">
        <v>2580</v>
      </c>
      <c r="B46" s="554"/>
      <c r="C46" s="592"/>
      <c r="D46" s="593"/>
      <c r="E46" s="593"/>
      <c r="F46" s="592"/>
      <c r="G46" s="592"/>
      <c r="H46" s="592"/>
      <c r="I46" s="592"/>
      <c r="J46" s="592"/>
      <c r="K46" s="592"/>
      <c r="L46" s="592"/>
      <c r="M46" s="592"/>
      <c r="N46" s="592"/>
      <c r="O46" s="592"/>
      <c r="P46" s="594"/>
      <c r="Q46" s="592"/>
      <c r="R46" s="592"/>
      <c r="S46" s="592"/>
      <c r="T46" s="345"/>
      <c r="U46" s="345"/>
    </row>
    <row r="47" spans="1:21" ht="20" customHeight="1">
      <c r="A47" s="595" t="s">
        <v>1394</v>
      </c>
      <c r="B47" s="596" t="s">
        <v>1393</v>
      </c>
      <c r="C47" s="552" t="s">
        <v>1395</v>
      </c>
      <c r="D47" s="552" t="s">
        <v>1405</v>
      </c>
      <c r="E47" s="552" t="s">
        <v>2511</v>
      </c>
      <c r="F47" s="552" t="s">
        <v>1396</v>
      </c>
      <c r="G47" s="552" t="s">
        <v>1397</v>
      </c>
      <c r="H47" s="552" t="s">
        <v>1398</v>
      </c>
      <c r="I47" s="552" t="s">
        <v>1399</v>
      </c>
      <c r="J47" s="552" t="s">
        <v>1400</v>
      </c>
      <c r="K47" s="552" t="s">
        <v>1401</v>
      </c>
      <c r="L47" s="552" t="s">
        <v>1402</v>
      </c>
      <c r="M47" s="552" t="s">
        <v>1398</v>
      </c>
      <c r="N47" s="552" t="s">
        <v>1399</v>
      </c>
      <c r="O47" s="552" t="s">
        <v>1400</v>
      </c>
      <c r="P47" s="552" t="s">
        <v>1403</v>
      </c>
      <c r="Q47" s="552" t="s">
        <v>1404</v>
      </c>
      <c r="R47" s="552" t="s">
        <v>1406</v>
      </c>
      <c r="S47" s="551" t="s">
        <v>974</v>
      </c>
      <c r="T47" s="551" t="s">
        <v>974</v>
      </c>
      <c r="U47" s="551" t="s">
        <v>974</v>
      </c>
    </row>
    <row r="48" spans="1:21" ht="20" customHeight="1">
      <c r="A48" s="556" t="s">
        <v>2513</v>
      </c>
      <c r="B48" s="628" t="s">
        <v>112</v>
      </c>
      <c r="C48" s="628" t="s">
        <v>1601</v>
      </c>
      <c r="D48" s="558" t="s">
        <v>1607</v>
      </c>
      <c r="E48" s="628" t="s">
        <v>1601</v>
      </c>
      <c r="F48" s="628" t="s">
        <v>1602</v>
      </c>
      <c r="G48" s="628" t="s">
        <v>482</v>
      </c>
      <c r="H48" s="628" t="s">
        <v>1408</v>
      </c>
      <c r="I48" s="628" t="s">
        <v>790</v>
      </c>
      <c r="J48" s="628" t="s">
        <v>1603</v>
      </c>
      <c r="K48" s="628" t="s">
        <v>1604</v>
      </c>
      <c r="L48" s="628" t="s">
        <v>611</v>
      </c>
      <c r="M48" s="628" t="s">
        <v>1408</v>
      </c>
      <c r="N48" s="628" t="s">
        <v>505</v>
      </c>
      <c r="O48" s="628" t="s">
        <v>504</v>
      </c>
      <c r="P48" s="643" t="s">
        <v>1605</v>
      </c>
      <c r="Q48" s="628" t="s">
        <v>1606</v>
      </c>
      <c r="R48" s="558" t="s">
        <v>1608</v>
      </c>
      <c r="S48" s="629">
        <v>6.5016E+18</v>
      </c>
      <c r="T48" s="557" t="s">
        <v>974</v>
      </c>
      <c r="U48" s="557" t="s">
        <v>974</v>
      </c>
    </row>
    <row r="49" spans="1:21" ht="20" customHeight="1">
      <c r="A49" s="604" t="s">
        <v>2514</v>
      </c>
      <c r="B49" s="612" t="s">
        <v>112</v>
      </c>
      <c r="C49" s="612" t="s">
        <v>1609</v>
      </c>
      <c r="D49" s="562" t="s">
        <v>1617</v>
      </c>
      <c r="E49" s="612" t="s">
        <v>1609</v>
      </c>
      <c r="F49" s="612" t="s">
        <v>1610</v>
      </c>
      <c r="G49" s="612" t="s">
        <v>453</v>
      </c>
      <c r="H49" s="612" t="s">
        <v>1408</v>
      </c>
      <c r="I49" s="612" t="s">
        <v>1611</v>
      </c>
      <c r="J49" s="612" t="s">
        <v>454</v>
      </c>
      <c r="K49" s="612" t="s">
        <v>1612</v>
      </c>
      <c r="L49" s="612" t="s">
        <v>212</v>
      </c>
      <c r="M49" s="612" t="s">
        <v>1408</v>
      </c>
      <c r="N49" s="612" t="s">
        <v>1613</v>
      </c>
      <c r="O49" s="612" t="s">
        <v>1614</v>
      </c>
      <c r="P49" s="613" t="s">
        <v>1615</v>
      </c>
      <c r="Q49" s="612" t="s">
        <v>1616</v>
      </c>
      <c r="R49" s="562" t="s">
        <v>1618</v>
      </c>
      <c r="S49" s="614">
        <v>6.50162E+18</v>
      </c>
      <c r="T49" s="561" t="s">
        <v>974</v>
      </c>
      <c r="U49" s="561" t="s">
        <v>974</v>
      </c>
    </row>
    <row r="50" spans="1:21" ht="20" customHeight="1">
      <c r="A50" s="605" t="s">
        <v>2515</v>
      </c>
      <c r="B50" s="570" t="s">
        <v>112</v>
      </c>
      <c r="C50" s="570" t="s">
        <v>1619</v>
      </c>
      <c r="D50" s="567" t="s">
        <v>1617</v>
      </c>
      <c r="E50" s="570" t="s">
        <v>1619</v>
      </c>
      <c r="F50" s="570" t="s">
        <v>1620</v>
      </c>
      <c r="G50" s="570" t="s">
        <v>298</v>
      </c>
      <c r="H50" s="570" t="s">
        <v>1408</v>
      </c>
      <c r="I50" s="570" t="s">
        <v>301</v>
      </c>
      <c r="J50" s="570" t="s">
        <v>1621</v>
      </c>
      <c r="K50" s="570" t="s">
        <v>974</v>
      </c>
      <c r="L50" s="570" t="s">
        <v>974</v>
      </c>
      <c r="M50" s="570" t="s">
        <v>974</v>
      </c>
      <c r="N50" s="570" t="s">
        <v>974</v>
      </c>
      <c r="O50" s="570" t="s">
        <v>974</v>
      </c>
      <c r="P50" s="571" t="s">
        <v>1622</v>
      </c>
      <c r="Q50" s="570" t="s">
        <v>1616</v>
      </c>
      <c r="R50" s="567" t="s">
        <v>1623</v>
      </c>
      <c r="S50" s="572">
        <v>6.50162E+18</v>
      </c>
      <c r="T50" s="566" t="s">
        <v>974</v>
      </c>
      <c r="U50" s="566" t="s">
        <v>974</v>
      </c>
    </row>
    <row r="51" spans="1:21" ht="20" customHeight="1">
      <c r="A51" s="573" t="s">
        <v>2516</v>
      </c>
      <c r="B51" s="577" t="s">
        <v>112</v>
      </c>
      <c r="C51" s="577" t="s">
        <v>1624</v>
      </c>
      <c r="D51" s="575" t="s">
        <v>1607</v>
      </c>
      <c r="E51" s="577" t="s">
        <v>1624</v>
      </c>
      <c r="F51" s="577" t="s">
        <v>1625</v>
      </c>
      <c r="G51" s="577" t="s">
        <v>474</v>
      </c>
      <c r="H51" s="577" t="s">
        <v>1408</v>
      </c>
      <c r="I51" s="577" t="s">
        <v>477</v>
      </c>
      <c r="J51" s="577" t="s">
        <v>1626</v>
      </c>
      <c r="K51" s="577" t="s">
        <v>1627</v>
      </c>
      <c r="L51" s="577" t="s">
        <v>212</v>
      </c>
      <c r="M51" s="577" t="s">
        <v>1408</v>
      </c>
      <c r="N51" s="577" t="s">
        <v>215</v>
      </c>
      <c r="O51" s="577" t="s">
        <v>1628</v>
      </c>
      <c r="P51" s="606" t="s">
        <v>1629</v>
      </c>
      <c r="Q51" s="577" t="s">
        <v>1606</v>
      </c>
      <c r="R51" s="575" t="s">
        <v>1630</v>
      </c>
      <c r="S51" s="607">
        <v>6.50163E+18</v>
      </c>
      <c r="T51" s="574" t="s">
        <v>974</v>
      </c>
      <c r="U51" s="574" t="s">
        <v>974</v>
      </c>
    </row>
  </sheetData>
  <mergeCells count="15">
    <mergeCell ref="A46:B46"/>
    <mergeCell ref="A12:A13"/>
    <mergeCell ref="E23:E24"/>
    <mergeCell ref="F23:F24"/>
    <mergeCell ref="G23:G24"/>
    <mergeCell ref="I23:I24"/>
    <mergeCell ref="A31:B31"/>
    <mergeCell ref="A34:A41"/>
    <mergeCell ref="E34:E41"/>
    <mergeCell ref="A2:B2"/>
    <mergeCell ref="A4:A5"/>
    <mergeCell ref="A6:A7"/>
    <mergeCell ref="A10:B10"/>
    <mergeCell ref="A19:B19"/>
    <mergeCell ref="A22:A24"/>
  </mergeCells>
  <hyperlinks>
    <hyperlink ref="P3" r:id="rId1" xr:uid="{D834F20C-C534-4D54-A842-8827DA2F3F6E}"/>
    <hyperlink ref="P4" r:id="rId2" xr:uid="{14C64325-130E-4E17-B946-308F38E17FBA}"/>
    <hyperlink ref="P5" r:id="rId3" xr:uid="{7A6D2252-2081-4291-9CE1-FBBBC00900B9}"/>
    <hyperlink ref="P6" r:id="rId4" xr:uid="{8D0E318C-C267-432F-B482-3DC806446A5C}"/>
    <hyperlink ref="P7" r:id="rId5" xr:uid="{6BE83C68-EF02-4E84-BB47-06480214FAA8}"/>
    <hyperlink ref="P8" r:id="rId6" xr:uid="{62468336-6B94-4E51-98FF-8DBE67E15610}"/>
    <hyperlink ref="P14" r:id="rId7" xr:uid="{38AE9C15-8321-4967-9F72-0708EBD0B733}"/>
    <hyperlink ref="P15" r:id="rId8" xr:uid="{2ADBE36A-AD19-4F1C-A84C-8A3E376427BD}"/>
    <hyperlink ref="P16" r:id="rId9" xr:uid="{77879DC8-E7C1-439A-9023-E62DF9AA6C93}"/>
    <hyperlink ref="P21" r:id="rId10" xr:uid="{4445FF4D-23F5-4AAF-9045-DE18258552B1}"/>
    <hyperlink ref="P22" r:id="rId11" xr:uid="{0F5A943B-6B6E-432B-BB12-809D60791278}"/>
    <hyperlink ref="P23" r:id="rId12" xr:uid="{AB2A37A0-BA26-41B4-BC49-CBCA86EB7344}"/>
    <hyperlink ref="P24" r:id="rId13" xr:uid="{298C00F1-FB7F-4DD0-9767-1EA7FA0B3497}"/>
    <hyperlink ref="P25" r:id="rId14" xr:uid="{3E6D5414-CC75-4C3E-BC64-21686C53DF66}"/>
    <hyperlink ref="P26" r:id="rId15" xr:uid="{CDE2AA99-D12A-4903-AD95-CE82A2E74C82}"/>
    <hyperlink ref="P34" r:id="rId16" xr:uid="{54AE9ECA-4475-4C5D-8214-9124DAA4A901}"/>
    <hyperlink ref="P36" r:id="rId17" xr:uid="{D41AA8C1-1C5C-4B9D-B8CE-23E09A56E919}"/>
    <hyperlink ref="P37" r:id="rId18" xr:uid="{F7BF326E-9D98-497E-9FB5-2FE1CFFB3ED0}"/>
    <hyperlink ref="P38" r:id="rId19" xr:uid="{06D00817-18AC-4A1A-A775-C8555ADAC55E}"/>
    <hyperlink ref="P39" r:id="rId20" xr:uid="{70CB380B-87A5-417D-8B76-39A3B9CFF3F4}"/>
    <hyperlink ref="P40" r:id="rId21" xr:uid="{5A4DA8A2-D835-4B65-8AE3-71C16802B967}"/>
    <hyperlink ref="P41" r:id="rId22" xr:uid="{619BDF21-3424-49AF-860A-9CED9DB67141}"/>
    <hyperlink ref="P42" r:id="rId23" xr:uid="{7374411B-B07C-4016-A648-4BFBD6312210}"/>
    <hyperlink ref="P48" r:id="rId24" xr:uid="{FC7D01AE-CB6A-461F-97F1-0D35EF7A65C9}"/>
    <hyperlink ref="P49" r:id="rId25" xr:uid="{5EA5250C-5891-4E25-A962-C2CD4665D5DB}"/>
    <hyperlink ref="P50" r:id="rId26" xr:uid="{FC48BAEA-F1BA-493B-A7FB-8626D3FD68EA}"/>
    <hyperlink ref="P51" r:id="rId27" xr:uid="{F3DAD436-27E0-4959-B7A7-8B49C9360760}"/>
    <hyperlink ref="P12" r:id="rId28" xr:uid="{0A44D87D-F74D-4DD7-B01C-38500918B4E4}"/>
    <hyperlink ref="P13" r:id="rId29" xr:uid="{3190579C-74ED-4666-84B7-26A51657A107}"/>
    <hyperlink ref="I4" r:id="rId30" xr:uid="{AB759968-011F-4D10-8B00-449E5E63DB3B}"/>
    <hyperlink ref="N4" r:id="rId31" xr:uid="{7C5422CD-7DA2-45D3-96DE-CEF6B4F2C59C}"/>
    <hyperlink ref="I5" r:id="rId32" xr:uid="{8A068A43-6FBF-4611-8B4C-D8CBD128A95D}"/>
    <hyperlink ref="I7" r:id="rId33" xr:uid="{BEDDAF69-F512-4E32-BE40-32BB9C63EEAE}"/>
    <hyperlink ref="N22" r:id="rId34" xr:uid="{E5D76665-28F8-4DE4-AB62-8E4783ED9AF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6E06-D358-4A48-9D65-2EC80172E1C0}">
  <dimension ref="B1:L28"/>
  <sheetViews>
    <sheetView zoomScale="107" zoomScaleNormal="145" workbookViewId="0">
      <selection activeCell="D17" sqref="D17"/>
    </sheetView>
  </sheetViews>
  <sheetFormatPr defaultRowHeight="12.5"/>
  <cols>
    <col min="2" max="2" width="18.26953125" customWidth="1"/>
    <col min="4" max="4" width="25.1796875" customWidth="1"/>
  </cols>
  <sheetData>
    <row r="1" spans="2:12">
      <c r="L1" s="405" t="s">
        <v>1841</v>
      </c>
    </row>
    <row r="2" spans="2:12">
      <c r="K2" s="59"/>
      <c r="L2" s="405" t="s">
        <v>1817</v>
      </c>
    </row>
    <row r="3" spans="2:12">
      <c r="B3" s="266" t="s">
        <v>1846</v>
      </c>
      <c r="C3" s="189">
        <v>25</v>
      </c>
      <c r="D3" t="s">
        <v>2343</v>
      </c>
      <c r="L3" s="405" t="s">
        <v>1818</v>
      </c>
    </row>
    <row r="4" spans="2:12">
      <c r="B4" s="266" t="s">
        <v>1847</v>
      </c>
      <c r="C4" s="266">
        <v>29</v>
      </c>
      <c r="D4" s="59" t="s">
        <v>2342</v>
      </c>
      <c r="E4" s="59"/>
      <c r="L4" s="405" t="s">
        <v>1819</v>
      </c>
    </row>
    <row r="5" spans="2:12">
      <c r="B5" s="266" t="s">
        <v>1849</v>
      </c>
      <c r="C5" s="189">
        <v>24</v>
      </c>
      <c r="L5" s="405" t="s">
        <v>1820</v>
      </c>
    </row>
    <row r="6" spans="2:12">
      <c r="B6" s="266" t="s">
        <v>1814</v>
      </c>
      <c r="C6" s="189">
        <v>104</v>
      </c>
      <c r="D6" t="s">
        <v>1816</v>
      </c>
      <c r="L6" s="405" t="s">
        <v>1821</v>
      </c>
    </row>
    <row r="7" spans="2:12">
      <c r="B7" s="266" t="s">
        <v>241</v>
      </c>
      <c r="C7" s="189">
        <v>28</v>
      </c>
      <c r="L7" s="405" t="s">
        <v>1822</v>
      </c>
    </row>
    <row r="8" spans="2:12">
      <c r="B8" s="266" t="s">
        <v>1848</v>
      </c>
      <c r="C8" s="189">
        <v>30</v>
      </c>
      <c r="L8" s="405" t="s">
        <v>1823</v>
      </c>
    </row>
    <row r="9" spans="2:12">
      <c r="B9" s="266" t="s">
        <v>134</v>
      </c>
      <c r="C9" s="189">
        <v>5</v>
      </c>
      <c r="L9" s="406" t="s">
        <v>1825</v>
      </c>
    </row>
    <row r="10" spans="2:12">
      <c r="B10" s="266" t="s">
        <v>1815</v>
      </c>
      <c r="C10" s="189">
        <v>10</v>
      </c>
      <c r="L10" s="405" t="s">
        <v>1826</v>
      </c>
    </row>
    <row r="11" spans="2:12">
      <c r="B11" s="266" t="s">
        <v>1824</v>
      </c>
      <c r="C11" s="189">
        <v>29</v>
      </c>
      <c r="L11" s="405" t="s">
        <v>1827</v>
      </c>
    </row>
    <row r="12" spans="2:12" ht="13">
      <c r="B12" s="305" t="s">
        <v>1845</v>
      </c>
      <c r="C12" s="305">
        <f>SUM(C3:C11)</f>
        <v>284</v>
      </c>
      <c r="L12" s="405" t="s">
        <v>1828</v>
      </c>
    </row>
    <row r="13" spans="2:12">
      <c r="L13" s="405" t="s">
        <v>1829</v>
      </c>
    </row>
    <row r="14" spans="2:12">
      <c r="L14" s="405" t="s">
        <v>1830</v>
      </c>
    </row>
    <row r="15" spans="2:12">
      <c r="L15" s="405" t="s">
        <v>1831</v>
      </c>
    </row>
    <row r="16" spans="2:12">
      <c r="L16" s="405" t="s">
        <v>1832</v>
      </c>
    </row>
    <row r="17" spans="12:12">
      <c r="L17" s="405" t="s">
        <v>1833</v>
      </c>
    </row>
    <row r="18" spans="12:12">
      <c r="L18" s="405" t="s">
        <v>1834</v>
      </c>
    </row>
    <row r="19" spans="12:12">
      <c r="L19" s="405" t="s">
        <v>1835</v>
      </c>
    </row>
    <row r="20" spans="12:12">
      <c r="L20" s="405" t="s">
        <v>1836</v>
      </c>
    </row>
    <row r="21" spans="12:12">
      <c r="L21" s="405" t="s">
        <v>1837</v>
      </c>
    </row>
    <row r="22" spans="12:12">
      <c r="L22" s="405" t="s">
        <v>1838</v>
      </c>
    </row>
    <row r="23" spans="12:12">
      <c r="L23" s="405" t="s">
        <v>1839</v>
      </c>
    </row>
    <row r="24" spans="12:12">
      <c r="L24" s="405" t="s">
        <v>1840</v>
      </c>
    </row>
    <row r="25" spans="12:12">
      <c r="L25" s="405" t="s">
        <v>1843</v>
      </c>
    </row>
    <row r="26" spans="12:12">
      <c r="L26" s="405" t="s">
        <v>1842</v>
      </c>
    </row>
    <row r="27" spans="12:12">
      <c r="L27" s="405" t="s">
        <v>1844</v>
      </c>
    </row>
    <row r="28" spans="12:12">
      <c r="L28" s="405" t="s">
        <v>26</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F166-076E-4213-863F-217E6F0C02F0}">
  <dimension ref="A1:AC197"/>
  <sheetViews>
    <sheetView workbookViewId="0">
      <pane ySplit="1" topLeftCell="A122" activePane="bottomLeft" state="frozen"/>
      <selection pane="bottomLeft" activeCell="B194" sqref="B194:K194"/>
    </sheetView>
  </sheetViews>
  <sheetFormatPr defaultRowHeight="12.5"/>
  <cols>
    <col min="1" max="1" width="18.26953125" customWidth="1"/>
    <col min="2" max="2" width="18.81640625" customWidth="1"/>
    <col min="3" max="3" width="18.7265625" customWidth="1"/>
    <col min="4" max="4" width="13" customWidth="1"/>
    <col min="5" max="5" width="19" customWidth="1"/>
    <col min="6" max="7" width="18.54296875" customWidth="1"/>
    <col min="8" max="8" width="18.453125" customWidth="1"/>
    <col min="9" max="9" width="18.1796875" customWidth="1"/>
    <col min="10" max="10" width="18.26953125" customWidth="1"/>
    <col min="11" max="11" width="14.26953125" customWidth="1"/>
    <col min="12" max="12" width="18.26953125" customWidth="1"/>
    <col min="13" max="13" width="27.81640625" customWidth="1"/>
    <col min="14" max="16" width="18.7265625" customWidth="1"/>
  </cols>
  <sheetData>
    <row r="1" spans="1:16" ht="25">
      <c r="A1" s="98" t="s">
        <v>116</v>
      </c>
      <c r="B1" s="57" t="s">
        <v>117</v>
      </c>
      <c r="C1" s="57" t="s">
        <v>118</v>
      </c>
      <c r="D1" s="57" t="s">
        <v>119</v>
      </c>
      <c r="E1" s="57" t="s">
        <v>120</v>
      </c>
      <c r="F1" s="57" t="s">
        <v>121</v>
      </c>
      <c r="G1" s="57" t="s">
        <v>122</v>
      </c>
      <c r="H1" s="57" t="s">
        <v>123</v>
      </c>
      <c r="I1" s="57" t="s">
        <v>124</v>
      </c>
      <c r="J1" s="57" t="s">
        <v>125</v>
      </c>
      <c r="K1" s="98" t="s">
        <v>43</v>
      </c>
      <c r="L1" s="98" t="s">
        <v>126</v>
      </c>
      <c r="M1" s="98" t="s">
        <v>44</v>
      </c>
      <c r="N1" s="98" t="s">
        <v>127</v>
      </c>
      <c r="O1" s="98"/>
      <c r="P1" s="176" t="s">
        <v>128</v>
      </c>
    </row>
    <row r="2" spans="1:16" s="113" customFormat="1" ht="25">
      <c r="A2" s="58">
        <v>46079.85229166667</v>
      </c>
      <c r="B2" s="57" t="s">
        <v>145</v>
      </c>
      <c r="C2" s="57" t="s">
        <v>146</v>
      </c>
      <c r="D2" s="57" t="s">
        <v>147</v>
      </c>
      <c r="E2" s="57" t="s">
        <v>148</v>
      </c>
      <c r="F2" s="57" t="s">
        <v>149</v>
      </c>
      <c r="G2" s="57" t="s">
        <v>150</v>
      </c>
      <c r="H2" s="57" t="s">
        <v>151</v>
      </c>
      <c r="I2" s="57"/>
      <c r="J2" s="57" t="s">
        <v>152</v>
      </c>
      <c r="K2" s="100" t="str">
        <f>VLOOKUP(G2,Dataset!F:H,2,0)</f>
        <v>IIT Madras</v>
      </c>
      <c r="L2" s="100" t="s">
        <v>137</v>
      </c>
      <c r="M2" s="99" t="str">
        <f>VLOOKUP(G2,Dataset!F:H,3,0)</f>
        <v>TAHQEECAT</v>
      </c>
      <c r="N2" s="100"/>
      <c r="O2" s="19"/>
    </row>
    <row r="3" spans="1:16" s="113" customFormat="1" ht="25">
      <c r="A3" s="58">
        <v>46079.900034722225</v>
      </c>
      <c r="B3" s="57" t="s">
        <v>153</v>
      </c>
      <c r="C3" s="57" t="s">
        <v>154</v>
      </c>
      <c r="D3" s="57" t="s">
        <v>147</v>
      </c>
      <c r="E3" s="57" t="s">
        <v>155</v>
      </c>
      <c r="F3" s="57" t="s">
        <v>156</v>
      </c>
      <c r="G3" s="57" t="s">
        <v>157</v>
      </c>
      <c r="H3" s="57" t="s">
        <v>151</v>
      </c>
      <c r="I3" s="57"/>
      <c r="J3" s="57" t="s">
        <v>158</v>
      </c>
      <c r="K3" s="100" t="str">
        <f>VLOOKUP(G3,Dataset!F:H,2,0)</f>
        <v>IIT Madras</v>
      </c>
      <c r="L3" s="100" t="s">
        <v>137</v>
      </c>
      <c r="M3" s="99" t="str">
        <f>VLOOKUP(G3,Dataset!F:H,3,0)</f>
        <v>TAHQEECAT</v>
      </c>
      <c r="N3" s="100"/>
      <c r="O3" s="19"/>
    </row>
    <row r="4" spans="1:16" ht="62.5">
      <c r="A4" s="58">
        <v>46079.905243055553</v>
      </c>
      <c r="B4" s="57" t="s">
        <v>159</v>
      </c>
      <c r="C4" s="57" t="s">
        <v>160</v>
      </c>
      <c r="D4" s="57" t="s">
        <v>147</v>
      </c>
      <c r="E4" s="57" t="s">
        <v>161</v>
      </c>
      <c r="F4" s="57" t="s">
        <v>162</v>
      </c>
      <c r="G4" s="57" t="s">
        <v>163</v>
      </c>
      <c r="H4" s="57" t="s">
        <v>164</v>
      </c>
      <c r="I4" s="57"/>
      <c r="J4" s="57" t="s">
        <v>143</v>
      </c>
      <c r="K4" s="100" t="e">
        <f>VLOOKUP(G4,Dataset!F:H,2,0)</f>
        <v>#N/A</v>
      </c>
      <c r="L4" s="99" t="s">
        <v>165</v>
      </c>
      <c r="M4" s="99" t="e">
        <f>VLOOKUP(G4,Dataset!F:H,3,0)</f>
        <v>#N/A</v>
      </c>
      <c r="N4" s="99" t="s">
        <v>166</v>
      </c>
      <c r="O4" s="167"/>
    </row>
    <row r="5" spans="1:16" ht="75">
      <c r="A5" s="58">
        <v>46080.654930555553</v>
      </c>
      <c r="B5" s="57" t="s">
        <v>195</v>
      </c>
      <c r="C5" s="57" t="s">
        <v>196</v>
      </c>
      <c r="D5" s="57" t="s">
        <v>147</v>
      </c>
      <c r="E5" s="57" t="s">
        <v>197</v>
      </c>
      <c r="F5" s="57" t="s">
        <v>198</v>
      </c>
      <c r="G5" s="57" t="s">
        <v>199</v>
      </c>
      <c r="H5" s="57" t="s">
        <v>200</v>
      </c>
      <c r="I5" s="57"/>
      <c r="J5" s="57" t="s">
        <v>201</v>
      </c>
      <c r="K5" s="100" t="str">
        <f>VLOOKUP(G5,Dataset!F:H,2,0)</f>
        <v>IISc Bangalore</v>
      </c>
      <c r="L5" s="100" t="s">
        <v>174</v>
      </c>
      <c r="M5" s="99" t="str">
        <f>VLOOKUP(G5,Dataset!F:H,3,0)</f>
        <v>TG 3 Design and Demonstration of a Highly Scalable Quantum Computer using Semiconducting Qubits</v>
      </c>
      <c r="N5" s="99" t="s">
        <v>202</v>
      </c>
      <c r="O5" s="167"/>
    </row>
    <row r="6" spans="1:16" ht="87.5">
      <c r="A6" s="58">
        <v>46082.976747685185</v>
      </c>
      <c r="B6" s="57" t="s">
        <v>203</v>
      </c>
      <c r="C6" s="57" t="s">
        <v>204</v>
      </c>
      <c r="D6" s="57" t="s">
        <v>147</v>
      </c>
      <c r="E6" s="57" t="s">
        <v>205</v>
      </c>
      <c r="F6" s="57" t="s">
        <v>206</v>
      </c>
      <c r="G6" s="57" t="s">
        <v>207</v>
      </c>
      <c r="H6" s="57" t="s">
        <v>151</v>
      </c>
      <c r="I6" s="57"/>
      <c r="J6" s="57" t="s">
        <v>208</v>
      </c>
      <c r="K6" s="100" t="e">
        <f>VLOOKUP(G6,Dataset!F:H,2,0)</f>
        <v>#N/A</v>
      </c>
      <c r="L6" s="100" t="s">
        <v>209</v>
      </c>
      <c r="M6" s="99" t="e">
        <f>VLOOKUP(G6,Dataset!F:H,3,0)</f>
        <v>#N/A</v>
      </c>
      <c r="N6" s="188" t="s">
        <v>210</v>
      </c>
      <c r="O6" s="76"/>
    </row>
    <row r="7" spans="1:16" s="113" customFormat="1" ht="37.5">
      <c r="A7" s="58">
        <v>46083.479560185187</v>
      </c>
      <c r="B7" s="57" t="s">
        <v>211</v>
      </c>
      <c r="C7" s="57" t="s">
        <v>212</v>
      </c>
      <c r="D7" s="57" t="s">
        <v>147</v>
      </c>
      <c r="E7" s="57" t="s">
        <v>213</v>
      </c>
      <c r="F7" s="57" t="s">
        <v>214</v>
      </c>
      <c r="G7" s="57" t="s">
        <v>215</v>
      </c>
      <c r="H7" s="57" t="s">
        <v>164</v>
      </c>
      <c r="I7" s="57"/>
      <c r="J7" s="57" t="s">
        <v>216</v>
      </c>
      <c r="K7" s="100" t="e">
        <f>VLOOKUP(G7,Dataset!F:H,2,0)</f>
        <v>#N/A</v>
      </c>
      <c r="L7" s="100" t="s">
        <v>209</v>
      </c>
      <c r="M7" s="99" t="e">
        <f>VLOOKUP(G7,Dataset!F:H,3,0)</f>
        <v>#N/A</v>
      </c>
      <c r="N7" s="295" t="s">
        <v>217</v>
      </c>
      <c r="O7" s="76"/>
    </row>
    <row r="8" spans="1:16" s="113" customFormat="1" ht="25">
      <c r="A8" s="58">
        <v>46084.819814814815</v>
      </c>
      <c r="B8" s="57" t="s">
        <v>224</v>
      </c>
      <c r="C8" s="57" t="s">
        <v>225</v>
      </c>
      <c r="D8" s="57" t="s">
        <v>178</v>
      </c>
      <c r="E8" s="57"/>
      <c r="F8" s="57" t="s">
        <v>231</v>
      </c>
      <c r="G8" s="57" t="s">
        <v>227</v>
      </c>
      <c r="H8" s="57" t="s">
        <v>228</v>
      </c>
      <c r="I8" s="57" t="s">
        <v>232</v>
      </c>
      <c r="J8" s="57" t="s">
        <v>136</v>
      </c>
      <c r="K8" s="100" t="str">
        <f>VLOOKUP(G8,Dataset!F:H,2,0)</f>
        <v>IISc Bangalore</v>
      </c>
      <c r="L8" s="100" t="s">
        <v>174</v>
      </c>
      <c r="M8" s="99" t="str">
        <f>VLOOKUP(G8,Dataset!F:H,3,0)</f>
        <v>QuILA</v>
      </c>
      <c r="N8" s="100" t="s">
        <v>230</v>
      </c>
      <c r="O8" s="19"/>
    </row>
    <row r="9" spans="1:16" s="182" customFormat="1" ht="25">
      <c r="A9" s="58">
        <v>46085.454293981478</v>
      </c>
      <c r="B9" s="57" t="s">
        <v>233</v>
      </c>
      <c r="C9" s="57" t="s">
        <v>234</v>
      </c>
      <c r="D9" s="57" t="s">
        <v>147</v>
      </c>
      <c r="E9" s="57" t="s">
        <v>235</v>
      </c>
      <c r="F9" s="57" t="s">
        <v>236</v>
      </c>
      <c r="G9" s="57" t="s">
        <v>237</v>
      </c>
      <c r="H9" s="57" t="s">
        <v>164</v>
      </c>
      <c r="I9" s="57"/>
      <c r="J9" s="57" t="s">
        <v>143</v>
      </c>
      <c r="K9" s="100" t="str">
        <f>VLOOKUP(G9,Dataset!F:H,2,0)</f>
        <v>IIT Bombay</v>
      </c>
      <c r="L9" s="100" t="s">
        <v>144</v>
      </c>
      <c r="M9" s="99" t="str">
        <f>VLOOKUP(G9,Dataset!F:H,3,0)</f>
        <v>TG 3 Kasturi Saha</v>
      </c>
      <c r="N9" s="100" t="s">
        <v>238</v>
      </c>
      <c r="O9" s="100"/>
      <c r="P9" s="181"/>
    </row>
    <row r="10" spans="1:16" s="103" customFormat="1" ht="25">
      <c r="A10" s="58">
        <v>46085.454467592594</v>
      </c>
      <c r="B10" s="57" t="s">
        <v>239</v>
      </c>
      <c r="C10" s="57" t="s">
        <v>240</v>
      </c>
      <c r="D10" s="57" t="s">
        <v>147</v>
      </c>
      <c r="E10" s="57" t="s">
        <v>241</v>
      </c>
      <c r="F10" s="57" t="s">
        <v>242</v>
      </c>
      <c r="G10" s="57" t="s">
        <v>243</v>
      </c>
      <c r="H10" s="57" t="s">
        <v>244</v>
      </c>
      <c r="I10" s="57"/>
      <c r="J10" s="57" t="s">
        <v>152</v>
      </c>
      <c r="K10" s="100" t="str">
        <f>VLOOKUP(G10,Dataset!F:H,2,0)</f>
        <v>IIT Bombay</v>
      </c>
      <c r="L10" s="100" t="s">
        <v>144</v>
      </c>
      <c r="M10" s="99" t="str">
        <f>VLOOKUP(G10,Dataset!F:H,3,0)</f>
        <v>TG 2 Saikat Ghosh</v>
      </c>
      <c r="N10" s="100" t="s">
        <v>245</v>
      </c>
      <c r="O10" s="100"/>
      <c r="P10" s="164"/>
    </row>
    <row r="11" spans="1:16" ht="25">
      <c r="A11" s="58">
        <v>46085.45453703704</v>
      </c>
      <c r="B11" s="57" t="s">
        <v>246</v>
      </c>
      <c r="C11" s="57" t="s">
        <v>247</v>
      </c>
      <c r="D11" s="57" t="s">
        <v>147</v>
      </c>
      <c r="E11" s="57" t="s">
        <v>248</v>
      </c>
      <c r="F11" s="57" t="s">
        <v>249</v>
      </c>
      <c r="G11" s="57" t="s">
        <v>250</v>
      </c>
      <c r="H11" s="57" t="s">
        <v>151</v>
      </c>
      <c r="I11" s="57"/>
      <c r="J11" s="57" t="s">
        <v>251</v>
      </c>
      <c r="K11" s="100" t="str">
        <f>VLOOKUP(G11,Dataset!F:H,2,0)</f>
        <v>IIT Bombay</v>
      </c>
      <c r="L11" s="100" t="s">
        <v>144</v>
      </c>
      <c r="M11" s="99" t="str">
        <f>VLOOKUP(G11,Dataset!F:H,3,0)</f>
        <v>TG 3 Kasturi Saha</v>
      </c>
      <c r="N11" s="100" t="s">
        <v>238</v>
      </c>
      <c r="O11" s="19"/>
    </row>
    <row r="12" spans="1:16" ht="25">
      <c r="A12" s="58">
        <v>46085.468634259261</v>
      </c>
      <c r="B12" s="57" t="s">
        <v>252</v>
      </c>
      <c r="C12" s="57" t="s">
        <v>253</v>
      </c>
      <c r="D12" s="57" t="s">
        <v>147</v>
      </c>
      <c r="E12" s="57" t="s">
        <v>254</v>
      </c>
      <c r="F12" s="57" t="s">
        <v>255</v>
      </c>
      <c r="G12" s="57" t="s">
        <v>256</v>
      </c>
      <c r="H12" s="57" t="s">
        <v>164</v>
      </c>
      <c r="I12" s="57"/>
      <c r="J12" s="57" t="s">
        <v>152</v>
      </c>
      <c r="K12" s="100" t="str">
        <f>VLOOKUP(G12,Dataset!F:H,2,0)</f>
        <v>IIT Bombay</v>
      </c>
      <c r="L12" s="100" t="s">
        <v>144</v>
      </c>
      <c r="M12" s="99" t="str">
        <f>VLOOKUP(G12,Dataset!F:H,3,0)</f>
        <v>TG 3 Kasturi Saha</v>
      </c>
      <c r="N12" s="19" t="s">
        <v>238</v>
      </c>
      <c r="O12" s="19"/>
    </row>
    <row r="13" spans="1:16" ht="25">
      <c r="A13" s="58">
        <v>46085.470995370371</v>
      </c>
      <c r="B13" s="57" t="s">
        <v>257</v>
      </c>
      <c r="C13" s="57" t="s">
        <v>258</v>
      </c>
      <c r="D13" s="57" t="s">
        <v>147</v>
      </c>
      <c r="E13" s="57" t="s">
        <v>259</v>
      </c>
      <c r="F13" s="57" t="s">
        <v>260</v>
      </c>
      <c r="G13" s="57" t="s">
        <v>261</v>
      </c>
      <c r="H13" s="57" t="s">
        <v>262</v>
      </c>
      <c r="I13" s="57"/>
      <c r="J13" s="57" t="s">
        <v>263</v>
      </c>
      <c r="K13" s="100" t="str">
        <f>VLOOKUP(G13,Dataset!F:H,2,0)</f>
        <v>IIT Bombay</v>
      </c>
      <c r="L13" s="100" t="s">
        <v>144</v>
      </c>
      <c r="M13" s="99" t="str">
        <f>VLOOKUP(G13,Dataset!F:H,3,0)</f>
        <v>TG 3 Kasturi Saha</v>
      </c>
      <c r="N13" s="19" t="s">
        <v>238</v>
      </c>
      <c r="O13" s="19"/>
    </row>
    <row r="14" spans="1:16" s="113" customFormat="1" ht="25">
      <c r="A14" s="58">
        <v>46085.490729166668</v>
      </c>
      <c r="B14" s="57" t="s">
        <v>264</v>
      </c>
      <c r="C14" s="57" t="s">
        <v>265</v>
      </c>
      <c r="D14" s="57" t="s">
        <v>147</v>
      </c>
      <c r="E14" s="57" t="s">
        <v>266</v>
      </c>
      <c r="F14" s="57" t="s">
        <v>267</v>
      </c>
      <c r="G14" s="57" t="s">
        <v>268</v>
      </c>
      <c r="H14" s="57" t="s">
        <v>151</v>
      </c>
      <c r="I14" s="57"/>
      <c r="J14" s="57" t="s">
        <v>269</v>
      </c>
      <c r="K14" s="100" t="str">
        <f>VLOOKUP(G14,Dataset!F:H,2,0)</f>
        <v>IIT Bombay</v>
      </c>
      <c r="L14" s="100" t="s">
        <v>144</v>
      </c>
      <c r="M14" s="99" t="str">
        <f>VLOOKUP(G14,Dataset!F:H,3,0)</f>
        <v>TG 1 Anand Jha</v>
      </c>
      <c r="N14" s="100" t="s">
        <v>270</v>
      </c>
      <c r="O14" s="19"/>
    </row>
    <row r="15" spans="1:16" s="108" customFormat="1" ht="25">
      <c r="A15" s="58">
        <v>46085.501886574071</v>
      </c>
      <c r="B15" s="57" t="s">
        <v>271</v>
      </c>
      <c r="C15" s="57" t="s">
        <v>272</v>
      </c>
      <c r="D15" s="57" t="s">
        <v>147</v>
      </c>
      <c r="E15" s="57" t="s">
        <v>142</v>
      </c>
      <c r="F15" s="57" t="s">
        <v>273</v>
      </c>
      <c r="G15" s="57" t="s">
        <v>274</v>
      </c>
      <c r="H15" s="57" t="s">
        <v>275</v>
      </c>
      <c r="I15" s="57"/>
      <c r="J15" s="57" t="s">
        <v>143</v>
      </c>
      <c r="K15" s="100" t="str">
        <f>VLOOKUP(G15,Dataset!F:H,2,0)</f>
        <v>IIT Bombay</v>
      </c>
      <c r="L15" s="100" t="s">
        <v>144</v>
      </c>
      <c r="M15" s="99" t="str">
        <f>VLOOKUP(G15,Dataset!F:H,3,0)</f>
        <v>TG 3 Kasturi Saha</v>
      </c>
      <c r="N15" s="100" t="s">
        <v>238</v>
      </c>
      <c r="O15" s="19"/>
    </row>
    <row r="16" spans="1:16" ht="25">
      <c r="A16" s="58">
        <v>46085.535613425927</v>
      </c>
      <c r="B16" s="57" t="s">
        <v>276</v>
      </c>
      <c r="C16" s="57" t="s">
        <v>277</v>
      </c>
      <c r="D16" s="57" t="s">
        <v>147</v>
      </c>
      <c r="E16" s="57" t="s">
        <v>278</v>
      </c>
      <c r="F16" s="57" t="s">
        <v>279</v>
      </c>
      <c r="G16" s="57" t="s">
        <v>280</v>
      </c>
      <c r="H16" s="57" t="s">
        <v>262</v>
      </c>
      <c r="I16" s="57"/>
      <c r="J16" s="57" t="s">
        <v>251</v>
      </c>
      <c r="K16" s="100" t="str">
        <f>VLOOKUP(G16,Dataset!F:H,2,0)</f>
        <v>IIT Bombay</v>
      </c>
      <c r="L16" s="100" t="s">
        <v>144</v>
      </c>
      <c r="M16" s="99" t="str">
        <f>VLOOKUP(G16,Dataset!F:H,3,0)</f>
        <v>TG 2 Saikat Ghosh</v>
      </c>
      <c r="N16" s="100" t="s">
        <v>245</v>
      </c>
      <c r="O16" s="19"/>
    </row>
    <row r="17" spans="1:16" ht="25">
      <c r="A17" s="58">
        <v>46085.623148148145</v>
      </c>
      <c r="B17" s="57" t="s">
        <v>286</v>
      </c>
      <c r="C17" s="57" t="s">
        <v>287</v>
      </c>
      <c r="D17" s="57" t="s">
        <v>147</v>
      </c>
      <c r="E17" s="57" t="s">
        <v>288</v>
      </c>
      <c r="F17" s="57" t="s">
        <v>289</v>
      </c>
      <c r="G17" s="57" t="s">
        <v>290</v>
      </c>
      <c r="H17" s="57" t="s">
        <v>151</v>
      </c>
      <c r="I17" s="57"/>
      <c r="J17" s="57" t="s">
        <v>291</v>
      </c>
      <c r="K17" s="100" t="str">
        <f>VLOOKUP(G17,Dataset!F:H,2,0)</f>
        <v>IIT Bombay</v>
      </c>
      <c r="L17" s="100" t="s">
        <v>144</v>
      </c>
      <c r="M17" s="99" t="str">
        <f>VLOOKUP(G17,Dataset!F:H,3,0)</f>
        <v>TG 2 Saikat Ghosh</v>
      </c>
      <c r="N17" s="100" t="s">
        <v>245</v>
      </c>
      <c r="O17" s="19"/>
    </row>
    <row r="18" spans="1:16" ht="25">
      <c r="A18" s="58">
        <v>46085.827638888892</v>
      </c>
      <c r="B18" s="57" t="s">
        <v>292</v>
      </c>
      <c r="C18" s="57" t="s">
        <v>293</v>
      </c>
      <c r="D18" s="57" t="s">
        <v>147</v>
      </c>
      <c r="E18" s="57" t="s">
        <v>266</v>
      </c>
      <c r="F18" s="57" t="s">
        <v>294</v>
      </c>
      <c r="G18" s="57" t="s">
        <v>295</v>
      </c>
      <c r="H18" s="57" t="s">
        <v>151</v>
      </c>
      <c r="I18" s="57"/>
      <c r="J18" s="57" t="s">
        <v>269</v>
      </c>
      <c r="K18" s="100" t="str">
        <f>VLOOKUP(G18,Dataset!F:H,2,0)</f>
        <v>IIT Madras</v>
      </c>
      <c r="L18" s="100" t="s">
        <v>137</v>
      </c>
      <c r="M18" s="99" t="str">
        <f>VLOOKUP(G18,Dataset!F:H,3,0)</f>
        <v>PIPETA: Post Quantum Cryptography</v>
      </c>
      <c r="N18" s="100" t="s">
        <v>296</v>
      </c>
      <c r="O18" s="19"/>
    </row>
    <row r="19" spans="1:16" ht="50">
      <c r="A19" s="58">
        <v>46085.828043981484</v>
      </c>
      <c r="B19" s="57" t="s">
        <v>297</v>
      </c>
      <c r="C19" s="57" t="s">
        <v>298</v>
      </c>
      <c r="D19" s="57" t="s">
        <v>147</v>
      </c>
      <c r="E19" s="57" t="s">
        <v>299</v>
      </c>
      <c r="F19" s="57" t="s">
        <v>300</v>
      </c>
      <c r="G19" s="57" t="s">
        <v>301</v>
      </c>
      <c r="H19" s="57" t="s">
        <v>151</v>
      </c>
      <c r="I19" s="57"/>
      <c r="J19" s="57" t="s">
        <v>182</v>
      </c>
      <c r="K19" s="100" t="str">
        <f>VLOOKUP(G19,Dataset!F:H,2,0)</f>
        <v>IIT Delhi</v>
      </c>
      <c r="L19" s="100" t="s">
        <v>209</v>
      </c>
      <c r="M19" s="99" t="str">
        <f>VLOOKUP(G19,Dataset!F:H,3,0)</f>
        <v>TG2: Wafer-scale Emitter and Detector Arrays for Multi-wavelength RoomTemperature Photonic Quantum Technologies</v>
      </c>
      <c r="N19" s="100" t="s">
        <v>302</v>
      </c>
      <c r="O19" s="19"/>
    </row>
    <row r="20" spans="1:16" ht="25">
      <c r="A20" s="58">
        <v>46085.875509259262</v>
      </c>
      <c r="B20" s="57" t="s">
        <v>316</v>
      </c>
      <c r="C20" s="57" t="s">
        <v>258</v>
      </c>
      <c r="D20" s="57" t="s">
        <v>147</v>
      </c>
      <c r="E20" s="57" t="s">
        <v>317</v>
      </c>
      <c r="F20" s="57" t="s">
        <v>318</v>
      </c>
      <c r="G20" s="57" t="s">
        <v>319</v>
      </c>
      <c r="H20" s="57" t="s">
        <v>164</v>
      </c>
      <c r="I20" s="57"/>
      <c r="J20" s="57" t="s">
        <v>269</v>
      </c>
      <c r="K20" s="100" t="str">
        <f>VLOOKUP(G20,Dataset!F:H,2,0)</f>
        <v>IIT Bombay</v>
      </c>
      <c r="L20" s="100" t="s">
        <v>144</v>
      </c>
      <c r="M20" s="99" t="str">
        <f>VLOOKUP(G20,Dataset!F:H,3,0)</f>
        <v>TG 2 Saikat Ghosh</v>
      </c>
      <c r="N20" s="100" t="s">
        <v>245</v>
      </c>
      <c r="O20" s="19"/>
    </row>
    <row r="21" spans="1:16" ht="50">
      <c r="A21" s="58">
        <v>46085.942835648151</v>
      </c>
      <c r="B21" s="57" t="s">
        <v>320</v>
      </c>
      <c r="C21" s="57" t="s">
        <v>321</v>
      </c>
      <c r="D21" s="57" t="s">
        <v>147</v>
      </c>
      <c r="E21" s="57" t="s">
        <v>322</v>
      </c>
      <c r="F21" s="57" t="s">
        <v>323</v>
      </c>
      <c r="G21" s="57" t="s">
        <v>324</v>
      </c>
      <c r="H21" s="57" t="s">
        <v>164</v>
      </c>
      <c r="I21" s="57"/>
      <c r="J21" s="57" t="s">
        <v>325</v>
      </c>
      <c r="K21" s="100" t="str">
        <f>VLOOKUP(G21,Dataset!F:H,2,0)</f>
        <v>IIT Bombay</v>
      </c>
      <c r="L21" s="100" t="s">
        <v>144</v>
      </c>
      <c r="M21" s="99" t="str">
        <f>VLOOKUP(G21,Dataset!F:H,3,0)</f>
        <v>TG 1 Anand Jha</v>
      </c>
      <c r="N21" s="100" t="s">
        <v>270</v>
      </c>
      <c r="O21" s="19"/>
    </row>
    <row r="22" spans="1:16" ht="25">
      <c r="A22" s="58">
        <v>46086.081909722219</v>
      </c>
      <c r="B22" s="57" t="s">
        <v>326</v>
      </c>
      <c r="C22" s="57" t="s">
        <v>327</v>
      </c>
      <c r="D22" s="57" t="s">
        <v>147</v>
      </c>
      <c r="E22" s="57" t="s">
        <v>328</v>
      </c>
      <c r="F22" s="57" t="s">
        <v>329</v>
      </c>
      <c r="G22" s="57" t="s">
        <v>330</v>
      </c>
      <c r="H22" s="57" t="s">
        <v>164</v>
      </c>
      <c r="I22" s="57"/>
      <c r="J22" s="57" t="s">
        <v>143</v>
      </c>
      <c r="K22" s="100" t="str">
        <f>VLOOKUP(G22,Dataset!F:H,2,0)</f>
        <v>IIT Bombay</v>
      </c>
      <c r="L22" s="100" t="s">
        <v>144</v>
      </c>
      <c r="M22" s="99" t="str">
        <f>VLOOKUP(G22,Dataset!F:H,3,0)</f>
        <v>TG 2 Saikat Ghosh</v>
      </c>
      <c r="N22" s="100" t="s">
        <v>245</v>
      </c>
      <c r="O22" s="19"/>
    </row>
    <row r="23" spans="1:16" ht="25">
      <c r="A23" s="58">
        <v>46086.679467592592</v>
      </c>
      <c r="B23" s="57" t="s">
        <v>358</v>
      </c>
      <c r="C23" s="57" t="s">
        <v>359</v>
      </c>
      <c r="D23" s="57" t="s">
        <v>147</v>
      </c>
      <c r="E23" s="57" t="s">
        <v>360</v>
      </c>
      <c r="F23" s="57" t="s">
        <v>361</v>
      </c>
      <c r="G23" s="57" t="s">
        <v>362</v>
      </c>
      <c r="H23" s="57" t="s">
        <v>151</v>
      </c>
      <c r="I23" s="57"/>
      <c r="J23" s="57" t="s">
        <v>363</v>
      </c>
      <c r="K23" s="100" t="str">
        <f>VLOOKUP(G23,Dataset!F:H,2,0)</f>
        <v>IIT Madras</v>
      </c>
      <c r="L23" s="100" t="s">
        <v>137</v>
      </c>
      <c r="M23" s="99" t="str">
        <f>VLOOKUP(G23,Dataset!F:H,3,0)</f>
        <v>TAHQEECAT</v>
      </c>
      <c r="N23" s="100" t="s">
        <v>364</v>
      </c>
      <c r="O23" s="19"/>
    </row>
    <row r="24" spans="1:16" ht="25">
      <c r="A24" s="58">
        <v>46087.507905092592</v>
      </c>
      <c r="B24" s="57" t="s">
        <v>377</v>
      </c>
      <c r="C24" s="57" t="s">
        <v>377</v>
      </c>
      <c r="D24" s="57" t="s">
        <v>147</v>
      </c>
      <c r="E24" s="57" t="s">
        <v>266</v>
      </c>
      <c r="F24" s="57" t="s">
        <v>378</v>
      </c>
      <c r="G24" s="57" t="s">
        <v>379</v>
      </c>
      <c r="H24" s="57" t="s">
        <v>151</v>
      </c>
      <c r="I24" s="57"/>
      <c r="J24" s="57" t="s">
        <v>269</v>
      </c>
      <c r="K24" s="100" t="str">
        <f>VLOOKUP(G24,Dataset!F:H,2,0)</f>
        <v>IIT Bombay</v>
      </c>
      <c r="L24" s="100" t="s">
        <v>144</v>
      </c>
      <c r="M24" s="99" t="str">
        <f>VLOOKUP(G24,Dataset!F:H,3,0)</f>
        <v>TG 2 Saikat Ghosh</v>
      </c>
      <c r="N24" s="100" t="s">
        <v>245</v>
      </c>
      <c r="O24" s="19"/>
    </row>
    <row r="25" spans="1:16" s="113" customFormat="1" ht="50">
      <c r="A25" s="58">
        <v>46087.643900462965</v>
      </c>
      <c r="B25" s="57" t="s">
        <v>380</v>
      </c>
      <c r="C25" s="57" t="s">
        <v>381</v>
      </c>
      <c r="D25" s="57" t="s">
        <v>147</v>
      </c>
      <c r="E25" s="57" t="s">
        <v>382</v>
      </c>
      <c r="F25" s="57" t="s">
        <v>383</v>
      </c>
      <c r="G25" s="57" t="s">
        <v>384</v>
      </c>
      <c r="H25" s="57" t="s">
        <v>164</v>
      </c>
      <c r="I25" s="57"/>
      <c r="J25" s="57" t="s">
        <v>158</v>
      </c>
      <c r="K25" s="100" t="str">
        <f>VLOOKUP(G25,Dataset!F:H,2,0)</f>
        <v>IISc Bangalore</v>
      </c>
      <c r="L25" s="100" t="s">
        <v>174</v>
      </c>
      <c r="M25" s="99" t="str">
        <f>VLOOKUP(G25,Dataset!F:H,3,0)</f>
        <v>TG 3 Design and Demonstration of a Highly Scalable Quantum Computer using Semiconducting Qubits</v>
      </c>
      <c r="N25" s="252" t="s">
        <v>202</v>
      </c>
      <c r="O25" s="19"/>
    </row>
    <row r="26" spans="1:16" s="113" customFormat="1" ht="25">
      <c r="A26" s="58">
        <v>46087.817210648151</v>
      </c>
      <c r="B26" s="57" t="s">
        <v>385</v>
      </c>
      <c r="C26" s="57" t="s">
        <v>386</v>
      </c>
      <c r="D26" s="57" t="s">
        <v>147</v>
      </c>
      <c r="E26" s="57" t="s">
        <v>387</v>
      </c>
      <c r="F26" s="57" t="s">
        <v>388</v>
      </c>
      <c r="G26" s="57" t="s">
        <v>389</v>
      </c>
      <c r="H26" s="57" t="s">
        <v>151</v>
      </c>
      <c r="I26" s="57"/>
      <c r="J26" s="57" t="s">
        <v>390</v>
      </c>
      <c r="K26" s="100" t="str">
        <f>VLOOKUP(G26,Dataset!F:H,2,0)</f>
        <v>IIT Bombay</v>
      </c>
      <c r="L26" s="100" t="s">
        <v>144</v>
      </c>
      <c r="M26" s="99" t="str">
        <f>VLOOKUP(G26,Dataset!F:H,3,0)</f>
        <v>TG 1 Anand Jha</v>
      </c>
      <c r="N26" s="252" t="s">
        <v>270</v>
      </c>
      <c r="O26" s="19"/>
    </row>
    <row r="27" spans="1:16" ht="25">
      <c r="A27" s="58">
        <v>46087.954502314817</v>
      </c>
      <c r="B27" s="57" t="s">
        <v>391</v>
      </c>
      <c r="C27" s="57" t="s">
        <v>392</v>
      </c>
      <c r="D27" s="57" t="s">
        <v>147</v>
      </c>
      <c r="E27" s="57" t="s">
        <v>137</v>
      </c>
      <c r="F27" s="57" t="s">
        <v>393</v>
      </c>
      <c r="G27" s="57" t="s">
        <v>394</v>
      </c>
      <c r="H27" s="57" t="s">
        <v>395</v>
      </c>
      <c r="I27" s="57"/>
      <c r="J27" s="57" t="s">
        <v>136</v>
      </c>
      <c r="K27" s="100" t="str">
        <f>VLOOKUP(G27,Dataset!F:H,2,0)</f>
        <v>IIT Bombay</v>
      </c>
      <c r="L27" s="100" t="s">
        <v>144</v>
      </c>
      <c r="M27" s="99" t="str">
        <f>VLOOKUP(G27,Dataset!F:H,3,0)</f>
        <v>TG 3 Kasturi Saha</v>
      </c>
      <c r="N27" s="100" t="s">
        <v>238</v>
      </c>
      <c r="O27" s="19"/>
    </row>
    <row r="28" spans="1:16" ht="25">
      <c r="A28" s="58">
        <v>46091.266840277778</v>
      </c>
      <c r="B28" s="57" t="s">
        <v>396</v>
      </c>
      <c r="C28" s="57" t="s">
        <v>397</v>
      </c>
      <c r="D28" s="57" t="s">
        <v>147</v>
      </c>
      <c r="E28" s="57" t="s">
        <v>209</v>
      </c>
      <c r="F28" s="57" t="s">
        <v>398</v>
      </c>
      <c r="G28" s="57" t="s">
        <v>399</v>
      </c>
      <c r="H28" s="57" t="s">
        <v>164</v>
      </c>
      <c r="I28" s="57"/>
      <c r="J28" s="57" t="s">
        <v>223</v>
      </c>
      <c r="K28" s="100" t="str">
        <f>VLOOKUP(G28,Dataset!F:H,2,0)</f>
        <v>IIT Madras</v>
      </c>
      <c r="L28" s="100" t="s">
        <v>137</v>
      </c>
      <c r="M28" s="99" t="str">
        <f>VLOOKUP(G28,Dataset!F:H,3,0)</f>
        <v>TAHQEECAT</v>
      </c>
      <c r="N28" s="100" t="s">
        <v>364</v>
      </c>
      <c r="O28" s="19"/>
    </row>
    <row r="29" spans="1:16" ht="37.5">
      <c r="A29" s="58">
        <v>46091.285081018519</v>
      </c>
      <c r="B29" s="57" t="s">
        <v>404</v>
      </c>
      <c r="C29" s="57" t="s">
        <v>405</v>
      </c>
      <c r="D29" s="57" t="s">
        <v>147</v>
      </c>
      <c r="E29" s="57" t="s">
        <v>406</v>
      </c>
      <c r="F29" s="57" t="s">
        <v>407</v>
      </c>
      <c r="G29" s="57" t="s">
        <v>70</v>
      </c>
      <c r="H29" s="57" t="s">
        <v>262</v>
      </c>
      <c r="I29" s="57"/>
      <c r="J29" s="57" t="s">
        <v>182</v>
      </c>
      <c r="K29" s="100" t="str">
        <f>VLOOKUP(G29,Dataset!F:H,2,0)</f>
        <v>IISc Bangalore</v>
      </c>
      <c r="L29" s="100" t="s">
        <v>174</v>
      </c>
      <c r="M29" s="99" t="str">
        <f>VLOOKUP(G29,Dataset!F:H,3,0)</f>
        <v>TG 6 Quantum Computing with Neutral Atoms, Trapped Ions and Related Hybrid Systems</v>
      </c>
      <c r="N29" s="100" t="s">
        <v>408</v>
      </c>
      <c r="O29" s="19"/>
    </row>
    <row r="30" spans="1:16" s="103" customFormat="1" ht="25">
      <c r="A30" s="58">
        <v>46091.313101851854</v>
      </c>
      <c r="B30" s="57" t="s">
        <v>409</v>
      </c>
      <c r="C30" s="57" t="s">
        <v>410</v>
      </c>
      <c r="D30" s="57" t="s">
        <v>147</v>
      </c>
      <c r="E30" s="57" t="s">
        <v>411</v>
      </c>
      <c r="F30" s="57" t="s">
        <v>412</v>
      </c>
      <c r="G30" s="57" t="s">
        <v>413</v>
      </c>
      <c r="H30" s="57" t="s">
        <v>262</v>
      </c>
      <c r="I30" s="57"/>
      <c r="J30" s="57" t="s">
        <v>201</v>
      </c>
      <c r="K30" s="100" t="str">
        <f>VLOOKUP(G30,Dataset!F:H,2,0)</f>
        <v>IIT Bombay</v>
      </c>
      <c r="L30" s="100" t="s">
        <v>144</v>
      </c>
      <c r="M30" s="99" t="str">
        <f>VLOOKUP(G30,Dataset!F:H,3,0)</f>
        <v>TG 2 Saikat Ghosh</v>
      </c>
      <c r="N30" s="100" t="s">
        <v>245</v>
      </c>
      <c r="O30" s="100"/>
      <c r="P30" s="164"/>
    </row>
    <row r="31" spans="1:16" s="103" customFormat="1" ht="25">
      <c r="A31" s="58">
        <v>46091.31894675926</v>
      </c>
      <c r="B31" s="57" t="s">
        <v>414</v>
      </c>
      <c r="C31" s="57" t="s">
        <v>415</v>
      </c>
      <c r="D31" s="57" t="s">
        <v>147</v>
      </c>
      <c r="E31" s="57" t="s">
        <v>416</v>
      </c>
      <c r="F31" s="57" t="s">
        <v>417</v>
      </c>
      <c r="G31" s="57" t="s">
        <v>418</v>
      </c>
      <c r="H31" s="57" t="s">
        <v>419</v>
      </c>
      <c r="I31" s="57"/>
      <c r="J31" s="57" t="s">
        <v>173</v>
      </c>
      <c r="K31" s="100" t="str">
        <f>VLOOKUP(G31,Dataset!F:H,2,0)</f>
        <v>IIT Madras</v>
      </c>
      <c r="L31" s="100" t="s">
        <v>137</v>
      </c>
      <c r="M31" s="99" t="str">
        <f>VLOOKUP(G31,Dataset!F:H,3,0)</f>
        <v>QuePRAN</v>
      </c>
      <c r="N31" s="100" t="s">
        <v>420</v>
      </c>
      <c r="O31" s="100"/>
      <c r="P31" s="164"/>
    </row>
    <row r="32" spans="1:16" ht="25">
      <c r="A32" s="58">
        <v>46091.346273148149</v>
      </c>
      <c r="B32" s="57" t="s">
        <v>421</v>
      </c>
      <c r="C32" s="57" t="s">
        <v>422</v>
      </c>
      <c r="D32" s="57" t="s">
        <v>147</v>
      </c>
      <c r="E32" s="57" t="s">
        <v>137</v>
      </c>
      <c r="F32" s="57" t="s">
        <v>423</v>
      </c>
      <c r="G32" s="57" t="s">
        <v>424</v>
      </c>
      <c r="H32" s="57" t="s">
        <v>262</v>
      </c>
      <c r="I32" s="57"/>
      <c r="J32" s="57" t="s">
        <v>136</v>
      </c>
      <c r="K32" s="100" t="str">
        <f>VLOOKUP(G32,Dataset!F:H,2,0)</f>
        <v>IIT Madras</v>
      </c>
      <c r="L32" s="100" t="s">
        <v>137</v>
      </c>
      <c r="M32" s="99" t="str">
        <f>VLOOKUP(G32,Dataset!F:H,3,0)</f>
        <v>QuILA</v>
      </c>
      <c r="N32" s="100" t="s">
        <v>230</v>
      </c>
      <c r="O32" s="19"/>
    </row>
    <row r="33" spans="1:16" ht="25">
      <c r="A33" s="58">
        <v>46091.358946759261</v>
      </c>
      <c r="B33" s="57" t="s">
        <v>425</v>
      </c>
      <c r="C33" s="57" t="s">
        <v>426</v>
      </c>
      <c r="D33" s="57" t="s">
        <v>147</v>
      </c>
      <c r="E33" s="57" t="s">
        <v>427</v>
      </c>
      <c r="F33" s="57" t="s">
        <v>428</v>
      </c>
      <c r="G33" s="57" t="s">
        <v>429</v>
      </c>
      <c r="H33" s="57" t="s">
        <v>430</v>
      </c>
      <c r="I33" s="57"/>
      <c r="J33" s="57" t="s">
        <v>263</v>
      </c>
      <c r="K33" s="100" t="str">
        <f>VLOOKUP(G33,Dataset!F:H,2,0)</f>
        <v>IIT Madras</v>
      </c>
      <c r="L33" s="100" t="s">
        <v>137</v>
      </c>
      <c r="M33" s="99" t="str">
        <f>VLOOKUP(G33,Dataset!F:H,3,0)</f>
        <v>QuILA</v>
      </c>
      <c r="N33" s="100" t="s">
        <v>230</v>
      </c>
      <c r="O33" s="19"/>
    </row>
    <row r="34" spans="1:16" ht="37.5">
      <c r="A34" s="58">
        <v>46091.384687500002</v>
      </c>
      <c r="B34" s="57" t="s">
        <v>435</v>
      </c>
      <c r="C34" s="57" t="s">
        <v>436</v>
      </c>
      <c r="D34" s="57" t="s">
        <v>178</v>
      </c>
      <c r="E34" s="57"/>
      <c r="F34" s="57" t="s">
        <v>437</v>
      </c>
      <c r="G34" s="57" t="s">
        <v>438</v>
      </c>
      <c r="H34" s="57" t="s">
        <v>439</v>
      </c>
      <c r="I34" s="57" t="s">
        <v>440</v>
      </c>
      <c r="J34" s="57" t="s">
        <v>158</v>
      </c>
      <c r="K34" s="100" t="str">
        <f>VLOOKUP(G34,Dataset!F:H,2,0)</f>
        <v>IIT Madras</v>
      </c>
      <c r="L34" s="100" t="s">
        <v>137</v>
      </c>
      <c r="M34" s="99" t="str">
        <f>VLOOKUP(G34,Dataset!F:H,3,0)</f>
        <v>PIPETA: Post Quantum Cryptography</v>
      </c>
      <c r="N34" s="100" t="s">
        <v>296</v>
      </c>
      <c r="O34" s="19"/>
    </row>
    <row r="35" spans="1:16" s="103" customFormat="1" ht="26">
      <c r="A35" s="58">
        <v>46091.389525462961</v>
      </c>
      <c r="B35" s="57" t="s">
        <v>441</v>
      </c>
      <c r="C35" s="57" t="s">
        <v>442</v>
      </c>
      <c r="D35" s="57" t="s">
        <v>147</v>
      </c>
      <c r="E35" s="57" t="s">
        <v>443</v>
      </c>
      <c r="F35" s="57" t="s">
        <v>444</v>
      </c>
      <c r="G35" s="57" t="s">
        <v>445</v>
      </c>
      <c r="H35" s="57" t="s">
        <v>151</v>
      </c>
      <c r="I35" s="57"/>
      <c r="J35" s="57" t="s">
        <v>208</v>
      </c>
      <c r="K35" s="100" t="e">
        <f>VLOOKUP(G35,Dataset!F:H,2,0)</f>
        <v>#N/A</v>
      </c>
      <c r="L35" s="100" t="s">
        <v>137</v>
      </c>
      <c r="M35" s="99" t="e">
        <f>VLOOKUP(G35,Dataset!F:H,3,0)</f>
        <v>#N/A</v>
      </c>
      <c r="N35" s="251" t="s">
        <v>296</v>
      </c>
      <c r="O35" s="251"/>
      <c r="P35" s="164"/>
    </row>
    <row r="36" spans="1:16" s="103" customFormat="1" ht="25">
      <c r="A36" s="58">
        <v>46091.412175925929</v>
      </c>
      <c r="B36" s="57" t="s">
        <v>446</v>
      </c>
      <c r="C36" s="57" t="s">
        <v>447</v>
      </c>
      <c r="D36" s="57" t="s">
        <v>147</v>
      </c>
      <c r="E36" s="57" t="s">
        <v>448</v>
      </c>
      <c r="F36" s="57" t="s">
        <v>449</v>
      </c>
      <c r="G36" s="57" t="s">
        <v>450</v>
      </c>
      <c r="H36" s="57" t="s">
        <v>451</v>
      </c>
      <c r="I36" s="57"/>
      <c r="J36" s="57" t="s">
        <v>201</v>
      </c>
      <c r="K36" s="100" t="str">
        <f>VLOOKUP(G36,Dataset!F:H,2,0)</f>
        <v>IIT Bombay</v>
      </c>
      <c r="L36" s="100" t="s">
        <v>144</v>
      </c>
      <c r="M36" s="99" t="str">
        <f>VLOOKUP(G36,Dataset!F:H,3,0)</f>
        <v>TG 2 Saikat Ghosh</v>
      </c>
      <c r="N36" s="100" t="s">
        <v>245</v>
      </c>
      <c r="O36" s="100"/>
      <c r="P36" s="164"/>
    </row>
    <row r="37" spans="1:16" s="103" customFormat="1" ht="87.5">
      <c r="A37" s="58">
        <v>46091.415659722225</v>
      </c>
      <c r="B37" s="57" t="s">
        <v>452</v>
      </c>
      <c r="C37" s="57" t="s">
        <v>453</v>
      </c>
      <c r="D37" s="57" t="s">
        <v>147</v>
      </c>
      <c r="E37" s="57" t="s">
        <v>144</v>
      </c>
      <c r="F37" s="57" t="s">
        <v>454</v>
      </c>
      <c r="G37" s="57" t="s">
        <v>455</v>
      </c>
      <c r="H37" s="57" t="s">
        <v>262</v>
      </c>
      <c r="I37" s="57"/>
      <c r="J37" s="57" t="s">
        <v>143</v>
      </c>
      <c r="K37" s="100" t="e">
        <f>VLOOKUP(G37,Dataset!F:H,2,0)</f>
        <v>#N/A</v>
      </c>
      <c r="L37" s="100" t="s">
        <v>209</v>
      </c>
      <c r="M37" s="99" t="e">
        <f>VLOOKUP(G37,Dataset!F:H,3,0)</f>
        <v>#N/A</v>
      </c>
      <c r="N37" s="259" t="s">
        <v>302</v>
      </c>
      <c r="O37" s="259"/>
      <c r="P37" s="164"/>
    </row>
    <row r="38" spans="1:16" s="103" customFormat="1" ht="25">
      <c r="A38" s="58">
        <v>46091.416620370372</v>
      </c>
      <c r="B38" s="57" t="s">
        <v>456</v>
      </c>
      <c r="C38" s="57" t="s">
        <v>457</v>
      </c>
      <c r="D38" s="57" t="s">
        <v>147</v>
      </c>
      <c r="E38" s="57" t="s">
        <v>458</v>
      </c>
      <c r="F38" s="57" t="s">
        <v>459</v>
      </c>
      <c r="G38" s="57" t="s">
        <v>460</v>
      </c>
      <c r="H38" s="57" t="s">
        <v>262</v>
      </c>
      <c r="I38" s="57"/>
      <c r="J38" s="57" t="s">
        <v>136</v>
      </c>
      <c r="K38" s="100" t="str">
        <f>VLOOKUP(G38,Dataset!F:H,2,0)</f>
        <v>IISc Bangalore</v>
      </c>
      <c r="L38" s="100" t="s">
        <v>174</v>
      </c>
      <c r="M38" s="99" t="str">
        <f>VLOOKUP(G38,Dataset!F:H,3,0)</f>
        <v>TG 5 Quantum computers with Superconducting Qubits</v>
      </c>
      <c r="N38" s="100" t="s">
        <v>461</v>
      </c>
      <c r="O38" s="100"/>
      <c r="P38" s="164"/>
    </row>
    <row r="39" spans="1:16" s="103" customFormat="1" ht="25">
      <c r="A39" s="58">
        <v>46091.443518518521</v>
      </c>
      <c r="B39" s="57" t="s">
        <v>473</v>
      </c>
      <c r="C39" s="57" t="s">
        <v>474</v>
      </c>
      <c r="D39" s="57" t="s">
        <v>147</v>
      </c>
      <c r="E39" s="57" t="s">
        <v>475</v>
      </c>
      <c r="F39" s="57" t="s">
        <v>476</v>
      </c>
      <c r="G39" s="57" t="s">
        <v>477</v>
      </c>
      <c r="H39" s="57" t="s">
        <v>262</v>
      </c>
      <c r="I39" s="57"/>
      <c r="J39" s="57" t="s">
        <v>208</v>
      </c>
      <c r="K39" s="100" t="str">
        <f>VLOOKUP(G39,Dataset!F:H,2,0)</f>
        <v>IIT Delhi</v>
      </c>
      <c r="L39" s="100" t="s">
        <v>209</v>
      </c>
      <c r="M39" s="99" t="str">
        <f>VLOOKUP(G39,Dataset!F:H,3,0)</f>
        <v>TG3:WaveguideandIntegratedQuantumPhotonics</v>
      </c>
      <c r="N39" s="100" t="s">
        <v>217</v>
      </c>
      <c r="O39" s="100"/>
      <c r="P39" s="164"/>
    </row>
    <row r="40" spans="1:16" ht="25">
      <c r="A40" s="58">
        <v>46091.447025462963</v>
      </c>
      <c r="B40" s="57" t="s">
        <v>478</v>
      </c>
      <c r="C40" s="57" t="s">
        <v>372</v>
      </c>
      <c r="D40" s="57" t="s">
        <v>147</v>
      </c>
      <c r="E40" s="57" t="s">
        <v>259</v>
      </c>
      <c r="F40" s="57" t="s">
        <v>479</v>
      </c>
      <c r="G40" s="57" t="s">
        <v>480</v>
      </c>
      <c r="H40" s="57" t="s">
        <v>262</v>
      </c>
      <c r="I40" s="57"/>
      <c r="J40" s="57" t="s">
        <v>263</v>
      </c>
      <c r="K40" s="100" t="str">
        <f>VLOOKUP(G40,Dataset!F:H,2,0)</f>
        <v>IIT Bombay</v>
      </c>
      <c r="L40" s="100" t="s">
        <v>144</v>
      </c>
      <c r="M40" s="99" t="str">
        <f>VLOOKUP(G40,Dataset!F:H,3,0)</f>
        <v>TG 2 Saikat Ghosh</v>
      </c>
      <c r="N40" s="100" t="s">
        <v>245</v>
      </c>
      <c r="O40" s="19"/>
    </row>
    <row r="41" spans="1:16" s="103" customFormat="1" ht="37.5">
      <c r="A41" s="58">
        <v>46091.454375000001</v>
      </c>
      <c r="B41" s="57" t="s">
        <v>481</v>
      </c>
      <c r="C41" s="57" t="s">
        <v>482</v>
      </c>
      <c r="D41" s="57" t="s">
        <v>147</v>
      </c>
      <c r="E41" s="57" t="s">
        <v>483</v>
      </c>
      <c r="F41" s="57" t="s">
        <v>484</v>
      </c>
      <c r="G41" s="57" t="s">
        <v>485</v>
      </c>
      <c r="H41" s="57" t="s">
        <v>151</v>
      </c>
      <c r="I41" s="57"/>
      <c r="J41" s="57" t="s">
        <v>143</v>
      </c>
      <c r="K41" s="100" t="str">
        <f>VLOOKUP(G41,Dataset!F:H,2,0)</f>
        <v>IISc Bangalore</v>
      </c>
      <c r="L41" s="100" t="s">
        <v>174</v>
      </c>
      <c r="M41" s="99" t="str">
        <f>VLOOKUP(G41,Dataset!F:H,3,0)</f>
        <v>TG 4 Development of a 50-qubit quantum information processor with electron spins in silicon</v>
      </c>
      <c r="N41" s="100" t="s">
        <v>486</v>
      </c>
      <c r="O41" s="100"/>
      <c r="P41" s="164"/>
    </row>
    <row r="42" spans="1:16" s="113" customFormat="1" ht="25">
      <c r="A42" s="58">
        <v>46091.493252314816</v>
      </c>
      <c r="B42" s="57" t="s">
        <v>492</v>
      </c>
      <c r="C42" s="57" t="s">
        <v>493</v>
      </c>
      <c r="D42" s="57" t="s">
        <v>147</v>
      </c>
      <c r="E42" s="57" t="s">
        <v>259</v>
      </c>
      <c r="F42" s="57" t="s">
        <v>494</v>
      </c>
      <c r="G42" s="57" t="s">
        <v>495</v>
      </c>
      <c r="H42" s="57" t="s">
        <v>262</v>
      </c>
      <c r="I42" s="57"/>
      <c r="J42" s="57" t="s">
        <v>263</v>
      </c>
      <c r="K42" s="100" t="str">
        <f>VLOOKUP(G42,Dataset!F:H,2,0)</f>
        <v>IIT Bombay</v>
      </c>
      <c r="L42" s="100" t="s">
        <v>144</v>
      </c>
      <c r="M42" s="99" t="str">
        <f>VLOOKUP(G42,Dataset!F:H,3,0)</f>
        <v>TG 2 Saikat Ghosh</v>
      </c>
      <c r="N42" s="100" t="s">
        <v>245</v>
      </c>
      <c r="O42" s="19"/>
    </row>
    <row r="43" spans="1:16" ht="65">
      <c r="A43" s="58">
        <v>46091.587094907409</v>
      </c>
      <c r="B43" s="57" t="s">
        <v>501</v>
      </c>
      <c r="C43" s="57" t="s">
        <v>502</v>
      </c>
      <c r="D43" s="57" t="s">
        <v>147</v>
      </c>
      <c r="E43" s="57" t="s">
        <v>503</v>
      </c>
      <c r="F43" s="57" t="s">
        <v>504</v>
      </c>
      <c r="G43" s="57" t="s">
        <v>505</v>
      </c>
      <c r="H43" s="57" t="s">
        <v>262</v>
      </c>
      <c r="I43" s="57"/>
      <c r="J43" s="57" t="s">
        <v>223</v>
      </c>
      <c r="K43" s="100" t="e">
        <f>VLOOKUP(G43,Dataset!F:H,2,0)</f>
        <v>#N/A</v>
      </c>
      <c r="L43" s="100" t="s">
        <v>506</v>
      </c>
      <c r="M43" s="99" t="e">
        <f>VLOOKUP(G43,Dataset!F:H,3,0)</f>
        <v>#N/A</v>
      </c>
      <c r="N43" s="258" t="s">
        <v>486</v>
      </c>
      <c r="O43" s="97"/>
    </row>
    <row r="44" spans="1:16" ht="37.5">
      <c r="A44" s="58">
        <v>46091.659942129627</v>
      </c>
      <c r="B44" s="57" t="s">
        <v>508</v>
      </c>
      <c r="C44" s="57" t="s">
        <v>509</v>
      </c>
      <c r="D44" s="57" t="s">
        <v>147</v>
      </c>
      <c r="E44" s="57" t="s">
        <v>510</v>
      </c>
      <c r="F44" s="57" t="s">
        <v>511</v>
      </c>
      <c r="G44" s="57" t="s">
        <v>512</v>
      </c>
      <c r="H44" s="57" t="s">
        <v>164</v>
      </c>
      <c r="I44" s="57"/>
      <c r="J44" s="57" t="s">
        <v>513</v>
      </c>
      <c r="K44" s="100" t="str">
        <f>VLOOKUP(G44,Dataset!F:H,2,0)</f>
        <v>IISc Bangalore</v>
      </c>
      <c r="L44" s="100" t="str">
        <f>K44</f>
        <v>IISc Bangalore</v>
      </c>
      <c r="M44" s="99" t="str">
        <f>VLOOKUP(G44,Dataset!F:H,3,0)</f>
        <v>TG 4 Development of a 50-qubit quantum information processor with electron spins in silicon</v>
      </c>
      <c r="N44" s="100" t="str">
        <f>M44</f>
        <v>TG 4 Development of a 50-qubit quantum information processor with electron spins in silicon</v>
      </c>
      <c r="O44" s="19"/>
    </row>
    <row r="45" spans="1:16" ht="13">
      <c r="A45" s="58">
        <v>46091.662245370368</v>
      </c>
      <c r="B45" s="57" t="s">
        <v>514</v>
      </c>
      <c r="C45" s="57" t="s">
        <v>515</v>
      </c>
      <c r="D45" s="57" t="s">
        <v>178</v>
      </c>
      <c r="E45" s="57"/>
      <c r="F45" s="57" t="s">
        <v>516</v>
      </c>
      <c r="G45" s="57" t="s">
        <v>517</v>
      </c>
      <c r="H45" s="57" t="s">
        <v>518</v>
      </c>
      <c r="I45" s="57" t="s">
        <v>519</v>
      </c>
      <c r="J45" s="57" t="s">
        <v>520</v>
      </c>
      <c r="K45" s="100" t="e">
        <f>VLOOKUP(G45,Dataset!F:H,2,0)</f>
        <v>#N/A</v>
      </c>
      <c r="L45" s="100" t="s">
        <v>137</v>
      </c>
      <c r="M45" s="99" t="e">
        <f>VLOOKUP(G45,Dataset!F:H,3,0)</f>
        <v>#N/A</v>
      </c>
      <c r="N45" s="258" t="s">
        <v>521</v>
      </c>
      <c r="O45" s="97"/>
    </row>
    <row r="46" spans="1:16" ht="50">
      <c r="A46" s="58">
        <v>46091.701793981483</v>
      </c>
      <c r="B46" s="57" t="s">
        <v>522</v>
      </c>
      <c r="C46" s="57" t="s">
        <v>523</v>
      </c>
      <c r="D46" s="57" t="s">
        <v>147</v>
      </c>
      <c r="E46" s="57" t="s">
        <v>266</v>
      </c>
      <c r="F46" s="57" t="s">
        <v>524</v>
      </c>
      <c r="G46" s="57" t="s">
        <v>525</v>
      </c>
      <c r="H46" s="57" t="s">
        <v>151</v>
      </c>
      <c r="I46" s="57"/>
      <c r="J46" s="57" t="s">
        <v>269</v>
      </c>
      <c r="K46" s="100" t="str">
        <f>VLOOKUP(G46,Dataset!F:H,2,0)</f>
        <v>IISc Bangalore</v>
      </c>
      <c r="L46" s="100" t="str">
        <f>K46</f>
        <v>IISc Bangalore</v>
      </c>
      <c r="M46" s="99" t="str">
        <f>VLOOKUP(G46,Dataset!F:H,3,0)</f>
        <v>TG 3 Design and Demonstration of a Highly Scalable Quantum Computer using Semiconducting Qubits</v>
      </c>
      <c r="N46" s="100" t="str">
        <f>M46</f>
        <v>TG 3 Design and Demonstration of a Highly Scalable Quantum Computer using Semiconducting Qubits</v>
      </c>
      <c r="O46" s="19"/>
    </row>
    <row r="47" spans="1:16" s="103" customFormat="1" ht="65">
      <c r="A47" s="58">
        <v>46091.769317129627</v>
      </c>
      <c r="B47" s="57" t="s">
        <v>421</v>
      </c>
      <c r="C47" s="57" t="s">
        <v>526</v>
      </c>
      <c r="D47" s="57" t="s">
        <v>147</v>
      </c>
      <c r="E47" s="57" t="s">
        <v>527</v>
      </c>
      <c r="F47" s="57" t="s">
        <v>528</v>
      </c>
      <c r="G47" s="57" t="s">
        <v>529</v>
      </c>
      <c r="H47" s="57" t="s">
        <v>262</v>
      </c>
      <c r="I47" s="57"/>
      <c r="J47" s="57" t="s">
        <v>513</v>
      </c>
      <c r="K47" s="100" t="e">
        <f>VLOOKUP(G47,Dataset!F:H,2,0)</f>
        <v>#N/A</v>
      </c>
      <c r="L47" s="100" t="s">
        <v>506</v>
      </c>
      <c r="M47" s="99" t="e">
        <f>VLOOKUP(G47,Dataset!F:H,3,0)</f>
        <v>#N/A</v>
      </c>
      <c r="N47" s="294" t="s">
        <v>486</v>
      </c>
      <c r="O47" s="294"/>
      <c r="P47" s="164"/>
    </row>
    <row r="48" spans="1:16" ht="25">
      <c r="A48" s="58">
        <v>46091.787118055552</v>
      </c>
      <c r="B48" s="57" t="s">
        <v>536</v>
      </c>
      <c r="C48" s="57" t="s">
        <v>537</v>
      </c>
      <c r="D48" s="57" t="s">
        <v>147</v>
      </c>
      <c r="E48" s="57" t="s">
        <v>427</v>
      </c>
      <c r="F48" s="57" t="s">
        <v>538</v>
      </c>
      <c r="G48" s="57" t="s">
        <v>539</v>
      </c>
      <c r="H48" s="57" t="s">
        <v>262</v>
      </c>
      <c r="I48" s="57"/>
      <c r="J48" s="57" t="s">
        <v>263</v>
      </c>
      <c r="K48" s="100" t="str">
        <f>VLOOKUP(G48,Dataset!F:H,2,0)</f>
        <v>IISc Bangalore</v>
      </c>
      <c r="L48" s="100" t="str">
        <f>K48</f>
        <v>IISc Bangalore</v>
      </c>
      <c r="M48" s="99" t="str">
        <f>VLOOKUP(G48,Dataset!F:H,3,0)</f>
        <v>TG 1 Photonics quantum processor development</v>
      </c>
      <c r="N48" s="100" t="str">
        <f>M48</f>
        <v>TG 1 Photonics quantum processor development</v>
      </c>
      <c r="O48" s="19"/>
    </row>
    <row r="49" spans="1:16" s="103" customFormat="1" ht="78">
      <c r="A49" s="58">
        <v>46091.870567129627</v>
      </c>
      <c r="B49" s="57" t="s">
        <v>309</v>
      </c>
      <c r="C49" s="57" t="s">
        <v>540</v>
      </c>
      <c r="D49" s="57" t="s">
        <v>147</v>
      </c>
      <c r="E49" s="57" t="s">
        <v>541</v>
      </c>
      <c r="F49" s="57" t="s">
        <v>542</v>
      </c>
      <c r="G49" s="57" t="s">
        <v>543</v>
      </c>
      <c r="H49" s="57" t="s">
        <v>262</v>
      </c>
      <c r="I49" s="57"/>
      <c r="J49" s="57" t="s">
        <v>158</v>
      </c>
      <c r="K49" s="100" t="e">
        <f>VLOOKUP(G49,Dataset!F:H,2,0)</f>
        <v>#N/A</v>
      </c>
      <c r="L49" s="100" t="s">
        <v>506</v>
      </c>
      <c r="M49" s="99" t="e">
        <f>VLOOKUP(G49,Dataset!F:H,3,0)</f>
        <v>#N/A</v>
      </c>
      <c r="N49" s="289" t="s">
        <v>202</v>
      </c>
      <c r="O49" s="289"/>
      <c r="P49" s="164"/>
    </row>
    <row r="50" spans="1:16" ht="37.5">
      <c r="A50" s="58">
        <v>46091.899560185186</v>
      </c>
      <c r="B50" s="57" t="s">
        <v>544</v>
      </c>
      <c r="C50" s="57" t="s">
        <v>212</v>
      </c>
      <c r="D50" s="57" t="s">
        <v>147</v>
      </c>
      <c r="E50" s="57" t="s">
        <v>545</v>
      </c>
      <c r="F50" s="57" t="s">
        <v>546</v>
      </c>
      <c r="G50" s="57" t="s">
        <v>547</v>
      </c>
      <c r="H50" s="57" t="s">
        <v>151</v>
      </c>
      <c r="I50" s="57"/>
      <c r="J50" s="57" t="s">
        <v>158</v>
      </c>
      <c r="K50" s="100" t="e">
        <f>VLOOKUP(G50,Dataset!F:H,2,0)</f>
        <v>#N/A</v>
      </c>
      <c r="L50" s="251" t="s">
        <v>137</v>
      </c>
      <c r="M50" s="99" t="e">
        <f>VLOOKUP(G50,Dataset!F:H,3,0)</f>
        <v>#N/A</v>
      </c>
      <c r="N50" s="258" t="s">
        <v>364</v>
      </c>
      <c r="O50" s="97"/>
    </row>
    <row r="51" spans="1:16" ht="37.5">
      <c r="A51" s="58">
        <v>46092.289525462962</v>
      </c>
      <c r="B51" s="57" t="s">
        <v>563</v>
      </c>
      <c r="C51" s="57" t="s">
        <v>564</v>
      </c>
      <c r="D51" s="57" t="s">
        <v>147</v>
      </c>
      <c r="E51" s="57" t="s">
        <v>565</v>
      </c>
      <c r="F51" s="57" t="s">
        <v>566</v>
      </c>
      <c r="G51" s="57" t="s">
        <v>567</v>
      </c>
      <c r="H51" s="57" t="s">
        <v>262</v>
      </c>
      <c r="I51" s="57"/>
      <c r="J51" s="57" t="s">
        <v>173</v>
      </c>
      <c r="K51" s="100" t="str">
        <f>VLOOKUP(G51,Dataset!F:H,2,0)</f>
        <v>IISc Bangalore</v>
      </c>
      <c r="L51" s="100" t="str">
        <f>K51</f>
        <v>IISc Bangalore</v>
      </c>
      <c r="M51" s="99" t="str">
        <f>VLOOKUP(G51,Dataset!F:H,3,0)</f>
        <v>TG 6 Quantum Computing with Neutral Atoms, Trapped Ions and Related Hybrid Systems</v>
      </c>
      <c r="N51" s="100" t="str">
        <f>M51</f>
        <v>TG 6 Quantum Computing with Neutral Atoms, Trapped Ions and Related Hybrid Systems</v>
      </c>
      <c r="O51" s="19"/>
    </row>
    <row r="52" spans="1:16" ht="25">
      <c r="A52" s="58">
        <v>46092.366435185184</v>
      </c>
      <c r="B52" s="57" t="s">
        <v>572</v>
      </c>
      <c r="C52" s="57" t="s">
        <v>573</v>
      </c>
      <c r="D52" s="57" t="s">
        <v>147</v>
      </c>
      <c r="E52" s="57" t="s">
        <v>266</v>
      </c>
      <c r="F52" s="57" t="s">
        <v>574</v>
      </c>
      <c r="G52" s="57" t="s">
        <v>575</v>
      </c>
      <c r="H52" s="57" t="s">
        <v>262</v>
      </c>
      <c r="I52" s="57"/>
      <c r="J52" s="57" t="s">
        <v>269</v>
      </c>
      <c r="K52" s="100" t="str">
        <f>VLOOKUP(G52,Dataset!F:H,2,0)</f>
        <v>IIT Bombay</v>
      </c>
      <c r="L52" s="100" t="str">
        <f>K52</f>
        <v>IIT Bombay</v>
      </c>
      <c r="M52" s="99" t="str">
        <f>VLOOKUP(G52,Dataset!F:H,3,0)</f>
        <v>TG 1 Anand Jha</v>
      </c>
      <c r="N52" s="100" t="str">
        <f>M52</f>
        <v>TG 1 Anand Jha</v>
      </c>
      <c r="O52" s="19"/>
    </row>
    <row r="53" spans="1:16" ht="50">
      <c r="A53" s="58">
        <v>46092.447511574072</v>
      </c>
      <c r="B53" s="57" t="s">
        <v>576</v>
      </c>
      <c r="C53" s="57" t="s">
        <v>577</v>
      </c>
      <c r="D53" s="57" t="s">
        <v>147</v>
      </c>
      <c r="E53" s="57" t="s">
        <v>209</v>
      </c>
      <c r="F53" s="57" t="s">
        <v>578</v>
      </c>
      <c r="G53" s="57" t="s">
        <v>579</v>
      </c>
      <c r="H53" s="57" t="s">
        <v>262</v>
      </c>
      <c r="I53" s="57"/>
      <c r="J53" s="57" t="s">
        <v>158</v>
      </c>
      <c r="K53" s="100" t="str">
        <f>VLOOKUP(G53,Dataset!F:H,2,0)</f>
        <v>IISc Bangalore</v>
      </c>
      <c r="L53" s="100" t="str">
        <f>K53</f>
        <v>IISc Bangalore</v>
      </c>
      <c r="M53" s="99" t="str">
        <f>VLOOKUP(G53,Dataset!F:H,3,0)</f>
        <v>TG 3 Design and Demonstration of a Highly Scalable Quantum Computer using Semiconducting Qubits</v>
      </c>
      <c r="N53" s="100" t="str">
        <f>M53</f>
        <v>TG 3 Design and Demonstration of a Highly Scalable Quantum Computer using Semiconducting Qubits</v>
      </c>
      <c r="O53" s="19"/>
    </row>
    <row r="54" spans="1:16" ht="50">
      <c r="A54" s="58">
        <v>46092.471076388887</v>
      </c>
      <c r="B54" s="57" t="s">
        <v>580</v>
      </c>
      <c r="C54" s="57" t="s">
        <v>581</v>
      </c>
      <c r="D54" s="57" t="s">
        <v>178</v>
      </c>
      <c r="E54" s="57"/>
      <c r="F54" s="57" t="s">
        <v>582</v>
      </c>
      <c r="G54" s="57" t="s">
        <v>583</v>
      </c>
      <c r="H54" s="57" t="s">
        <v>584</v>
      </c>
      <c r="I54" s="57" t="s">
        <v>585</v>
      </c>
      <c r="J54" s="57" t="s">
        <v>173</v>
      </c>
      <c r="K54" s="100" t="str">
        <f>VLOOKUP(G54,Dataset!F:H,2,0)</f>
        <v>IISc Bangalore</v>
      </c>
      <c r="L54" s="100" t="str">
        <f>K54</f>
        <v>IISc Bangalore</v>
      </c>
      <c r="M54" s="99" t="str">
        <f>VLOOKUP(G54,Dataset!F:H,3,0)</f>
        <v>TG 2 Programmable photonic quantum computing using qubits encoded in different degrees of freedom of a photon</v>
      </c>
      <c r="N54" s="100" t="str">
        <f>M54</f>
        <v>TG 2 Programmable photonic quantum computing using qubits encoded in different degrees of freedom of a photon</v>
      </c>
      <c r="O54" s="19"/>
    </row>
    <row r="55" spans="1:16" s="108" customFormat="1" ht="65">
      <c r="A55" s="58">
        <v>46092.622037037036</v>
      </c>
      <c r="B55" s="57" t="s">
        <v>593</v>
      </c>
      <c r="C55" s="57" t="s">
        <v>594</v>
      </c>
      <c r="D55" s="57" t="s">
        <v>147</v>
      </c>
      <c r="E55" s="57" t="s">
        <v>595</v>
      </c>
      <c r="F55" s="57" t="s">
        <v>596</v>
      </c>
      <c r="G55" s="57" t="s">
        <v>597</v>
      </c>
      <c r="H55" s="57" t="s">
        <v>598</v>
      </c>
      <c r="I55" s="57"/>
      <c r="J55" s="57" t="s">
        <v>143</v>
      </c>
      <c r="K55" s="100" t="e">
        <f>VLOOKUP(G55,Dataset!F:H,2,0)</f>
        <v>#N/A</v>
      </c>
      <c r="L55" s="100" t="s">
        <v>506</v>
      </c>
      <c r="M55" s="99" t="e">
        <f>VLOOKUP(G55,Dataset!F:H,3,0)</f>
        <v>#N/A</v>
      </c>
      <c r="N55" s="97" t="s">
        <v>486</v>
      </c>
      <c r="O55" s="97"/>
    </row>
    <row r="56" spans="1:16" ht="37.5">
      <c r="A56" s="58">
        <v>46092.738749999997</v>
      </c>
      <c r="B56" s="57" t="s">
        <v>605</v>
      </c>
      <c r="C56" s="57" t="s">
        <v>606</v>
      </c>
      <c r="D56" s="57" t="s">
        <v>147</v>
      </c>
      <c r="E56" s="57" t="s">
        <v>607</v>
      </c>
      <c r="F56" s="57" t="s">
        <v>608</v>
      </c>
      <c r="G56" s="57" t="s">
        <v>609</v>
      </c>
      <c r="H56" s="57" t="s">
        <v>164</v>
      </c>
      <c r="I56" s="57"/>
      <c r="J56" s="57" t="s">
        <v>434</v>
      </c>
      <c r="K56" s="100" t="str">
        <f>VLOOKUP(G56,Dataset!F:H,2,0)</f>
        <v>IIT Madras</v>
      </c>
      <c r="L56" s="100" t="str">
        <f>K56</f>
        <v>IIT Madras</v>
      </c>
      <c r="M56" s="99" t="str">
        <f>VLOOKUP(G56,Dataset!F:H,3,0)</f>
        <v>QuePRAN</v>
      </c>
      <c r="N56" s="100" t="str">
        <f>M56</f>
        <v>QuePRAN</v>
      </c>
      <c r="O56" s="19"/>
    </row>
    <row r="57" spans="1:16" ht="78">
      <c r="A57" s="58">
        <v>46093.460960648146</v>
      </c>
      <c r="B57" s="57" t="s">
        <v>610</v>
      </c>
      <c r="C57" s="57" t="s">
        <v>611</v>
      </c>
      <c r="D57" s="57" t="s">
        <v>147</v>
      </c>
      <c r="E57" s="57" t="s">
        <v>612</v>
      </c>
      <c r="F57" s="57" t="s">
        <v>613</v>
      </c>
      <c r="G57" s="57" t="s">
        <v>614</v>
      </c>
      <c r="H57" s="57" t="s">
        <v>151</v>
      </c>
      <c r="I57" s="57"/>
      <c r="J57" s="57" t="s">
        <v>615</v>
      </c>
      <c r="K57" s="100" t="e">
        <f>VLOOKUP(G57,Dataset!F:H,2,0)</f>
        <v>#N/A</v>
      </c>
      <c r="L57" s="100" t="s">
        <v>506</v>
      </c>
      <c r="M57" s="99" t="e">
        <f>VLOOKUP(G57,Dataset!F:H,3,0)</f>
        <v>#N/A</v>
      </c>
      <c r="N57" s="84" t="s">
        <v>202</v>
      </c>
      <c r="O57" s="97"/>
    </row>
    <row r="58" spans="1:16" ht="25">
      <c r="A58" s="58">
        <v>46093.476134259261</v>
      </c>
      <c r="B58" s="57" t="s">
        <v>616</v>
      </c>
      <c r="C58" s="57" t="s">
        <v>482</v>
      </c>
      <c r="D58" s="57" t="s">
        <v>178</v>
      </c>
      <c r="E58" s="57"/>
      <c r="F58" s="57" t="s">
        <v>617</v>
      </c>
      <c r="G58" s="57" t="s">
        <v>618</v>
      </c>
      <c r="H58" s="57" t="s">
        <v>619</v>
      </c>
      <c r="I58" s="57" t="s">
        <v>620</v>
      </c>
      <c r="J58" s="57" t="s">
        <v>173</v>
      </c>
      <c r="K58" s="100" t="str">
        <f>VLOOKUP(G58,Dataset!F:H,2,0)</f>
        <v>IISc Bangalore</v>
      </c>
      <c r="L58" s="100" t="str">
        <f>K58</f>
        <v>IISc Bangalore</v>
      </c>
      <c r="M58" s="99" t="str">
        <f>VLOOKUP(G58,Dataset!F:H,3,0)</f>
        <v>TG 1 Photonics quantum processor development</v>
      </c>
      <c r="N58" s="100" t="str">
        <f>M58</f>
        <v>TG 1 Photonics quantum processor development</v>
      </c>
      <c r="O58" s="19"/>
    </row>
    <row r="59" spans="1:16" ht="52">
      <c r="A59" s="58">
        <v>46093.544386574074</v>
      </c>
      <c r="B59" s="57" t="s">
        <v>631</v>
      </c>
      <c r="C59" s="57" t="s">
        <v>632</v>
      </c>
      <c r="D59" s="57" t="s">
        <v>147</v>
      </c>
      <c r="E59" s="57" t="s">
        <v>633</v>
      </c>
      <c r="F59" s="57" t="s">
        <v>634</v>
      </c>
      <c r="G59" s="57" t="s">
        <v>635</v>
      </c>
      <c r="H59" s="57" t="s">
        <v>164</v>
      </c>
      <c r="I59" s="57"/>
      <c r="J59" s="57" t="s">
        <v>143</v>
      </c>
      <c r="K59" s="100" t="e">
        <f>VLOOKUP(G59,Dataset!F:H,2,0)</f>
        <v>#N/A</v>
      </c>
      <c r="L59" s="100" t="s">
        <v>506</v>
      </c>
      <c r="M59" s="99" t="e">
        <f>VLOOKUP(G59,Dataset!F:H,3,0)</f>
        <v>#N/A</v>
      </c>
      <c r="N59" s="97" t="s">
        <v>461</v>
      </c>
      <c r="O59" s="97"/>
    </row>
    <row r="60" spans="1:16" ht="25">
      <c r="A60" s="58">
        <v>46093.65929398148</v>
      </c>
      <c r="B60" s="57" t="s">
        <v>636</v>
      </c>
      <c r="C60" s="57" t="s">
        <v>637</v>
      </c>
      <c r="D60" s="57" t="s">
        <v>147</v>
      </c>
      <c r="E60" s="57" t="s">
        <v>638</v>
      </c>
      <c r="F60" s="57" t="s">
        <v>639</v>
      </c>
      <c r="G60" s="57" t="s">
        <v>640</v>
      </c>
      <c r="H60" s="57" t="s">
        <v>164</v>
      </c>
      <c r="I60" s="57"/>
      <c r="J60" s="57" t="s">
        <v>641</v>
      </c>
      <c r="K60" s="100" t="str">
        <f>VLOOKUP(G60,Dataset!F:H,2,0)</f>
        <v>IISc Bangalore</v>
      </c>
      <c r="L60" s="100" t="str">
        <f>K60</f>
        <v>IISc Bangalore</v>
      </c>
      <c r="M60" s="99" t="str">
        <f>VLOOKUP(G60,Dataset!F:H,3,0)</f>
        <v>TG 1 Photonics quantum processor development</v>
      </c>
      <c r="N60" s="100" t="str">
        <f>M60</f>
        <v>TG 1 Photonics quantum processor development</v>
      </c>
      <c r="O60" s="19"/>
    </row>
    <row r="61" spans="1:16" s="103" customFormat="1" ht="25">
      <c r="A61" s="58">
        <v>46093.699178240742</v>
      </c>
      <c r="B61" s="57" t="s">
        <v>642</v>
      </c>
      <c r="C61" s="57" t="s">
        <v>643</v>
      </c>
      <c r="D61" s="57" t="s">
        <v>147</v>
      </c>
      <c r="E61" s="57" t="s">
        <v>644</v>
      </c>
      <c r="F61" s="57" t="s">
        <v>645</v>
      </c>
      <c r="G61" s="57" t="s">
        <v>646</v>
      </c>
      <c r="H61" s="57" t="s">
        <v>262</v>
      </c>
      <c r="I61" s="57"/>
      <c r="J61" s="57" t="s">
        <v>216</v>
      </c>
      <c r="K61" s="100" t="str">
        <f>VLOOKUP(G61,Dataset!F:H,2,0)</f>
        <v>IIT Delhi</v>
      </c>
      <c r="L61" s="100" t="str">
        <f>K61</f>
        <v>IIT Delhi</v>
      </c>
      <c r="M61" s="99" t="str">
        <f>VLOOKUP(G61,Dataset!F:H,3,0)</f>
        <v>TG3:WaveguideandIntegratedQuantumPhotonics</v>
      </c>
      <c r="N61" s="100" t="str">
        <f>M61</f>
        <v>TG3:WaveguideandIntegratedQuantumPhotonics</v>
      </c>
      <c r="O61" s="100"/>
      <c r="P61" s="164"/>
    </row>
    <row r="62" spans="1:16" s="103" customFormat="1" ht="25">
      <c r="A62" s="58">
        <v>46093.702407407407</v>
      </c>
      <c r="B62" s="57" t="s">
        <v>647</v>
      </c>
      <c r="C62" s="57" t="s">
        <v>648</v>
      </c>
      <c r="D62" s="57" t="s">
        <v>147</v>
      </c>
      <c r="E62" s="57" t="s">
        <v>649</v>
      </c>
      <c r="F62" s="57" t="s">
        <v>650</v>
      </c>
      <c r="G62" s="57" t="s">
        <v>651</v>
      </c>
      <c r="H62" s="57" t="s">
        <v>652</v>
      </c>
      <c r="I62" s="57"/>
      <c r="J62" s="57" t="s">
        <v>653</v>
      </c>
      <c r="K62" s="100" t="str">
        <f>VLOOKUP(G62,Dataset!F:H,2,0)</f>
        <v>IIT Madras</v>
      </c>
      <c r="L62" s="100" t="str">
        <f>K62</f>
        <v>IIT Madras</v>
      </c>
      <c r="M62" s="99" t="str">
        <f>VLOOKUP(G62,Dataset!F:H,3,0)</f>
        <v>QuePRAN</v>
      </c>
      <c r="N62" s="100" t="str">
        <f>M62</f>
        <v>QuePRAN</v>
      </c>
      <c r="O62" s="100"/>
      <c r="P62" s="164"/>
    </row>
    <row r="63" spans="1:16" ht="87.5">
      <c r="A63" s="58">
        <v>46094.598877314813</v>
      </c>
      <c r="B63" s="57" t="s">
        <v>391</v>
      </c>
      <c r="C63" s="57" t="s">
        <v>212</v>
      </c>
      <c r="D63" s="57" t="s">
        <v>147</v>
      </c>
      <c r="E63" s="57" t="s">
        <v>670</v>
      </c>
      <c r="F63" s="57" t="s">
        <v>671</v>
      </c>
      <c r="G63" s="57" t="s">
        <v>433</v>
      </c>
      <c r="H63" s="57" t="s">
        <v>164</v>
      </c>
      <c r="I63" s="57"/>
      <c r="J63" s="57" t="s">
        <v>672</v>
      </c>
      <c r="K63" s="100" t="e">
        <f>VLOOKUP(G63,Dataset!F:H,2,0)</f>
        <v>#N/A</v>
      </c>
      <c r="L63" s="100" t="s">
        <v>209</v>
      </c>
      <c r="M63" s="99" t="e">
        <f>VLOOKUP(G63,Dataset!F:H,3,0)</f>
        <v>#N/A</v>
      </c>
      <c r="N63" s="259" t="s">
        <v>302</v>
      </c>
      <c r="O63" s="520"/>
    </row>
    <row r="64" spans="1:16" ht="25">
      <c r="A64" s="237">
        <v>46094.73605324074</v>
      </c>
      <c r="B64" s="196" t="s">
        <v>673</v>
      </c>
      <c r="C64" s="196" t="s">
        <v>321</v>
      </c>
      <c r="D64" s="196" t="s">
        <v>147</v>
      </c>
      <c r="E64" s="196" t="s">
        <v>266</v>
      </c>
      <c r="F64" s="196" t="s">
        <v>674</v>
      </c>
      <c r="G64" s="196" t="s">
        <v>675</v>
      </c>
      <c r="H64" s="196" t="s">
        <v>151</v>
      </c>
      <c r="I64" s="196"/>
      <c r="J64" s="196" t="s">
        <v>269</v>
      </c>
      <c r="K64" s="100" t="str">
        <f>VLOOKUP(G64,Dataset!F:H,2,0)</f>
        <v>IIT Bombay</v>
      </c>
      <c r="L64" s="176" t="str">
        <f>K64</f>
        <v>IIT Bombay</v>
      </c>
      <c r="M64" s="99" t="str">
        <f>VLOOKUP(G64,Dataset!F:H,3,0)</f>
        <v>TG 2 Saikat Ghosh</v>
      </c>
      <c r="N64" s="176" t="str">
        <f>M64</f>
        <v>TG 2 Saikat Ghosh</v>
      </c>
    </row>
    <row r="65" spans="1:16" ht="25">
      <c r="A65" s="237">
        <v>46079.796631944446</v>
      </c>
      <c r="B65" s="196" t="s">
        <v>688</v>
      </c>
      <c r="C65" s="196" t="s">
        <v>689</v>
      </c>
      <c r="D65" s="196" t="s">
        <v>147</v>
      </c>
      <c r="E65" s="196" t="s">
        <v>690</v>
      </c>
      <c r="F65" s="196" t="s">
        <v>691</v>
      </c>
      <c r="G65" s="196" t="s">
        <v>692</v>
      </c>
      <c r="H65" s="196" t="s">
        <v>693</v>
      </c>
      <c r="I65" s="196"/>
      <c r="J65" s="196" t="s">
        <v>694</v>
      </c>
      <c r="K65" s="100" t="str">
        <f>VLOOKUP(G65,Dataset!F:H,2,0)</f>
        <v>IIT Madras</v>
      </c>
      <c r="L65" s="176" t="str">
        <f>K65</f>
        <v>IIT Madras</v>
      </c>
      <c r="M65" s="99" t="str">
        <f>VLOOKUP(G65,Dataset!F:H,3,0)</f>
        <v>QuePRAN</v>
      </c>
      <c r="N65" s="176" t="str">
        <f>M65</f>
        <v>QuePRAN</v>
      </c>
    </row>
    <row r="66" spans="1:16" s="103" customFormat="1" ht="25">
      <c r="A66" s="237">
        <v>46095.553263888891</v>
      </c>
      <c r="B66" s="196" t="s">
        <v>695</v>
      </c>
      <c r="C66" s="196" t="s">
        <v>594</v>
      </c>
      <c r="D66" s="196" t="s">
        <v>147</v>
      </c>
      <c r="E66" s="196" t="s">
        <v>696</v>
      </c>
      <c r="F66" s="196" t="s">
        <v>697</v>
      </c>
      <c r="G66" s="196" t="s">
        <v>698</v>
      </c>
      <c r="H66" s="196" t="s">
        <v>699</v>
      </c>
      <c r="I66" s="196"/>
      <c r="J66" s="196" t="s">
        <v>208</v>
      </c>
      <c r="K66" s="100" t="e">
        <f>VLOOKUP(G66,Dataset!F:H,2,0)</f>
        <v>#N/A</v>
      </c>
      <c r="L66" s="285" t="s">
        <v>137</v>
      </c>
      <c r="M66" s="99" t="e">
        <f>VLOOKUP(G66,Dataset!F:H,3,0)</f>
        <v>#N/A</v>
      </c>
      <c r="N66" s="176" t="s">
        <v>296</v>
      </c>
      <c r="O66" s="176"/>
      <c r="P66" s="164"/>
    </row>
    <row r="67" spans="1:16" ht="25">
      <c r="A67" s="237">
        <v>46095.775405092594</v>
      </c>
      <c r="B67" s="196" t="s">
        <v>700</v>
      </c>
      <c r="C67" s="196" t="s">
        <v>701</v>
      </c>
      <c r="D67" s="196" t="s">
        <v>147</v>
      </c>
      <c r="E67" s="196" t="s">
        <v>702</v>
      </c>
      <c r="F67" s="196" t="s">
        <v>703</v>
      </c>
      <c r="G67" s="196" t="s">
        <v>704</v>
      </c>
      <c r="H67" s="196" t="s">
        <v>705</v>
      </c>
      <c r="I67" s="196"/>
      <c r="J67" s="196" t="s">
        <v>143</v>
      </c>
      <c r="K67" s="100" t="e">
        <f>VLOOKUP(G67,Dataset!F:H,2,0)</f>
        <v>#N/A</v>
      </c>
      <c r="L67" s="196" t="s">
        <v>144</v>
      </c>
      <c r="M67" s="99" t="e">
        <f>VLOOKUP(G67,Dataset!F:H,3,0)</f>
        <v>#N/A</v>
      </c>
      <c r="N67" s="285" t="s">
        <v>238</v>
      </c>
      <c r="O67" s="59"/>
    </row>
    <row r="68" spans="1:16" s="113" customFormat="1" ht="25">
      <c r="A68" s="237">
        <v>46096.019143518519</v>
      </c>
      <c r="B68" s="196" t="s">
        <v>708</v>
      </c>
      <c r="C68" s="196" t="s">
        <v>709</v>
      </c>
      <c r="D68" s="196" t="s">
        <v>178</v>
      </c>
      <c r="E68" s="196"/>
      <c r="F68" s="196" t="s">
        <v>710</v>
      </c>
      <c r="G68" s="196" t="s">
        <v>711</v>
      </c>
      <c r="H68" s="196" t="s">
        <v>712</v>
      </c>
      <c r="I68" s="196" t="s">
        <v>713</v>
      </c>
      <c r="J68" s="196" t="s">
        <v>223</v>
      </c>
      <c r="K68" s="100" t="e">
        <f>VLOOKUP(G68,Dataset!F:H,2,0)</f>
        <v>#N/A</v>
      </c>
      <c r="L68" s="196" t="s">
        <v>209</v>
      </c>
      <c r="M68" s="99" t="e">
        <f>VLOOKUP(G68,Dataset!F:H,3,0)</f>
        <v>#N/A</v>
      </c>
      <c r="N68" s="176" t="s">
        <v>714</v>
      </c>
      <c r="O68"/>
    </row>
    <row r="69" spans="1:16" ht="37.5">
      <c r="A69" s="237">
        <v>46096.501458333332</v>
      </c>
      <c r="B69" s="196" t="s">
        <v>719</v>
      </c>
      <c r="C69" s="196" t="s">
        <v>720</v>
      </c>
      <c r="D69" s="196" t="s">
        <v>147</v>
      </c>
      <c r="E69" s="196" t="s">
        <v>721</v>
      </c>
      <c r="F69" s="196" t="s">
        <v>722</v>
      </c>
      <c r="G69" s="196" t="s">
        <v>723</v>
      </c>
      <c r="H69" s="196" t="s">
        <v>164</v>
      </c>
      <c r="I69" s="196"/>
      <c r="J69" s="196" t="s">
        <v>724</v>
      </c>
      <c r="K69" s="100" t="str">
        <f>VLOOKUP(G69,Dataset!F:H,2,0)</f>
        <v>IISc Bangalore</v>
      </c>
      <c r="L69" s="176" t="str">
        <f>K69</f>
        <v>IISc Bangalore</v>
      </c>
      <c r="M69" s="99" t="str">
        <f>VLOOKUP(G69,Dataset!F:H,3,0)</f>
        <v>TG 6 Quantum Computing with Neutral Atoms, Trapped Ions and Related Hybrid Systems</v>
      </c>
      <c r="N69" s="291" t="str">
        <f>M69</f>
        <v>TG 6 Quantum Computing with Neutral Atoms, Trapped Ions and Related Hybrid Systems</v>
      </c>
    </row>
    <row r="70" spans="1:16" s="108" customFormat="1" ht="25">
      <c r="A70" s="237">
        <v>46096.668136574073</v>
      </c>
      <c r="B70" s="196" t="s">
        <v>725</v>
      </c>
      <c r="C70" s="196" t="s">
        <v>247</v>
      </c>
      <c r="D70" s="196" t="s">
        <v>147</v>
      </c>
      <c r="E70" s="196" t="s">
        <v>726</v>
      </c>
      <c r="F70" s="196" t="s">
        <v>727</v>
      </c>
      <c r="G70" s="196" t="s">
        <v>728</v>
      </c>
      <c r="H70" s="196" t="s">
        <v>729</v>
      </c>
      <c r="I70" s="196"/>
      <c r="J70" s="196" t="s">
        <v>263</v>
      </c>
      <c r="K70" s="100" t="str">
        <f>VLOOKUP(G70,Dataset!F:H,2,0)</f>
        <v>IISc Bangalore</v>
      </c>
      <c r="L70" s="176" t="str">
        <f>K70</f>
        <v>IISc Bangalore</v>
      </c>
      <c r="M70" s="99" t="str">
        <f>VLOOKUP(G70,Dataset!F:H,3,0)</f>
        <v>TG 1 Photonics quantum processor development</v>
      </c>
      <c r="N70" s="176" t="str">
        <f>M70</f>
        <v>TG 1 Photonics quantum processor development</v>
      </c>
      <c r="O70"/>
    </row>
    <row r="71" spans="1:16" s="108" customFormat="1" ht="50">
      <c r="A71" s="237">
        <v>46096.836435185185</v>
      </c>
      <c r="B71" s="196" t="s">
        <v>730</v>
      </c>
      <c r="C71" s="196" t="s">
        <v>731</v>
      </c>
      <c r="D71" s="196" t="s">
        <v>147</v>
      </c>
      <c r="E71" s="196" t="s">
        <v>427</v>
      </c>
      <c r="F71" s="196" t="s">
        <v>732</v>
      </c>
      <c r="G71" s="196" t="s">
        <v>733</v>
      </c>
      <c r="H71" s="196" t="s">
        <v>262</v>
      </c>
      <c r="I71" s="196"/>
      <c r="J71" s="196" t="s">
        <v>173</v>
      </c>
      <c r="K71" s="100" t="str">
        <f>VLOOKUP(G71,Dataset!F:H,2,0)</f>
        <v>IISc Bangalore</v>
      </c>
      <c r="L71" s="176" t="str">
        <f>K71</f>
        <v>IISc Bangalore</v>
      </c>
      <c r="M71" s="99" t="str">
        <f>VLOOKUP(G71,Dataset!F:H,3,0)</f>
        <v>TG 2 Programmable photonic quantum computing using qubits encoded in different degrees of freedom of a photon</v>
      </c>
      <c r="N71" s="176" t="str">
        <f>M71</f>
        <v>TG 2 Programmable photonic quantum computing using qubits encoded in different degrees of freedom of a photon</v>
      </c>
      <c r="O71"/>
    </row>
    <row r="72" spans="1:16" ht="25">
      <c r="A72" s="237">
        <v>46097.505266203705</v>
      </c>
      <c r="B72" s="196" t="s">
        <v>734</v>
      </c>
      <c r="C72" s="196" t="s">
        <v>735</v>
      </c>
      <c r="D72" s="196" t="s">
        <v>147</v>
      </c>
      <c r="E72" s="196"/>
      <c r="F72" s="196" t="s">
        <v>736</v>
      </c>
      <c r="G72" s="196" t="s">
        <v>737</v>
      </c>
      <c r="H72" s="196" t="s">
        <v>262</v>
      </c>
      <c r="I72" s="196"/>
      <c r="J72" s="196" t="s">
        <v>173</v>
      </c>
      <c r="K72" s="100" t="str">
        <f>VLOOKUP(G72,Dataset!F:H,2,0)</f>
        <v>IISc Bangalore</v>
      </c>
      <c r="L72" s="176"/>
      <c r="M72" s="99" t="str">
        <f>VLOOKUP(G72,Dataset!F:H,3,0)</f>
        <v>TG 1 Photonics quantum processor development</v>
      </c>
      <c r="N72" s="176"/>
    </row>
    <row r="73" spans="1:16" ht="25">
      <c r="A73" s="237">
        <v>46097.528483796297</v>
      </c>
      <c r="B73" s="196" t="s">
        <v>478</v>
      </c>
      <c r="C73" s="196" t="s">
        <v>482</v>
      </c>
      <c r="D73" s="196" t="s">
        <v>147</v>
      </c>
      <c r="E73" s="196"/>
      <c r="F73" s="196" t="s">
        <v>739</v>
      </c>
      <c r="G73" s="196" t="s">
        <v>740</v>
      </c>
      <c r="H73" s="196" t="s">
        <v>741</v>
      </c>
      <c r="I73" s="196"/>
      <c r="J73" s="196" t="s">
        <v>742</v>
      </c>
      <c r="K73" s="100" t="str">
        <f>VLOOKUP(G73,Dataset!F:H,2,0)</f>
        <v>IISc Bangalore</v>
      </c>
      <c r="L73" s="100" t="str">
        <f>K73</f>
        <v>IISc Bangalore</v>
      </c>
      <c r="M73" s="99" t="str">
        <f>VLOOKUP(G73,Dataset!F:H,3,0)</f>
        <v>TG 1 Photonics quantum processor development</v>
      </c>
      <c r="N73" s="293" t="str">
        <f>M73</f>
        <v>TG 1 Photonics quantum processor development</v>
      </c>
      <c r="O73" s="19"/>
    </row>
    <row r="74" spans="1:16" ht="25">
      <c r="A74" s="237">
        <v>46097.605405092596</v>
      </c>
      <c r="B74" s="196" t="s">
        <v>749</v>
      </c>
      <c r="C74" s="196" t="s">
        <v>750</v>
      </c>
      <c r="D74" s="196" t="s">
        <v>147</v>
      </c>
      <c r="E74" s="196"/>
      <c r="F74" s="196" t="s">
        <v>751</v>
      </c>
      <c r="G74" s="196" t="s">
        <v>752</v>
      </c>
      <c r="H74" s="196" t="s">
        <v>164</v>
      </c>
      <c r="I74" s="196"/>
      <c r="J74" s="196" t="s">
        <v>325</v>
      </c>
      <c r="K74" s="100" t="e">
        <f>VLOOKUP(G74,Dataset!F:H,2,0)</f>
        <v>#N/A</v>
      </c>
      <c r="L74" s="196" t="s">
        <v>174</v>
      </c>
      <c r="M74" s="99" t="e">
        <f>VLOOKUP(G74,Dataset!F:H,3,0)</f>
        <v>#N/A</v>
      </c>
      <c r="N74" s="176" t="s">
        <v>202</v>
      </c>
    </row>
    <row r="75" spans="1:16" ht="37.5">
      <c r="A75" s="237">
        <v>46097.749409722222</v>
      </c>
      <c r="B75" s="196" t="s">
        <v>753</v>
      </c>
      <c r="C75" s="196" t="s">
        <v>754</v>
      </c>
      <c r="D75" s="196" t="s">
        <v>147</v>
      </c>
      <c r="E75" s="196"/>
      <c r="F75" s="196" t="s">
        <v>755</v>
      </c>
      <c r="G75" s="196" t="s">
        <v>72</v>
      </c>
      <c r="H75" s="196" t="s">
        <v>395</v>
      </c>
      <c r="I75" s="196"/>
      <c r="J75" s="196" t="s">
        <v>756</v>
      </c>
      <c r="K75" s="100" t="str">
        <f>VLOOKUP(G75,Dataset!F:H,2,0)</f>
        <v>IISc Bangalore</v>
      </c>
      <c r="L75" s="176" t="str">
        <f>K75</f>
        <v>IISc Bangalore</v>
      </c>
      <c r="M75" s="99" t="str">
        <f>VLOOKUP(G75,Dataset!F:H,3,0)</f>
        <v>TG 6 Quantum Computing with Neutral Atoms, Trapped Ions and Related Hybrid Systems</v>
      </c>
      <c r="N75" s="290" t="str">
        <f>M75</f>
        <v>TG 6 Quantum Computing with Neutral Atoms, Trapped Ions and Related Hybrid Systems</v>
      </c>
    </row>
    <row r="76" spans="1:16" s="103" customFormat="1" ht="25">
      <c r="A76" s="237">
        <v>46098.390636574077</v>
      </c>
      <c r="B76" s="196" t="s">
        <v>769</v>
      </c>
      <c r="C76" s="196" t="s">
        <v>720</v>
      </c>
      <c r="D76" s="196" t="s">
        <v>147</v>
      </c>
      <c r="E76" s="196"/>
      <c r="F76" s="196" t="s">
        <v>770</v>
      </c>
      <c r="G76" s="196" t="s">
        <v>771</v>
      </c>
      <c r="H76" s="196" t="s">
        <v>151</v>
      </c>
      <c r="I76" s="196"/>
      <c r="J76" s="196" t="s">
        <v>158</v>
      </c>
      <c r="K76" s="100" t="e">
        <f>VLOOKUP(G76,Dataset!F:H,2,0)</f>
        <v>#N/A</v>
      </c>
      <c r="L76" s="196" t="s">
        <v>174</v>
      </c>
      <c r="M76" s="99" t="e">
        <f>VLOOKUP(G76,Dataset!F:H,3,0)</f>
        <v>#N/A</v>
      </c>
      <c r="N76" s="176" t="s">
        <v>772</v>
      </c>
      <c r="O76" s="176"/>
      <c r="P76" s="164"/>
    </row>
    <row r="77" spans="1:16" ht="37.5">
      <c r="A77" s="237">
        <v>46098.423356481479</v>
      </c>
      <c r="B77" s="196" t="s">
        <v>778</v>
      </c>
      <c r="C77" s="196" t="s">
        <v>212</v>
      </c>
      <c r="D77" s="196" t="s">
        <v>147</v>
      </c>
      <c r="E77" s="196" t="s">
        <v>52</v>
      </c>
      <c r="F77" s="196" t="s">
        <v>779</v>
      </c>
      <c r="G77" s="275" t="s">
        <v>780</v>
      </c>
      <c r="H77" s="196" t="s">
        <v>262</v>
      </c>
      <c r="I77" s="196"/>
      <c r="J77" s="196" t="s">
        <v>781</v>
      </c>
      <c r="K77" s="100" t="str">
        <f>VLOOKUP(G77,Dataset!F:H,2,0)</f>
        <v>IISc Bangalore</v>
      </c>
      <c r="L77" s="176" t="str">
        <f>K77</f>
        <v>IISc Bangalore</v>
      </c>
      <c r="M77" s="99" t="str">
        <f>VLOOKUP(G77,Dataset!F:H,3,0)</f>
        <v>TG 1 Photonics quantum processor development</v>
      </c>
      <c r="N77" s="176" t="str">
        <f>M77</f>
        <v>TG 1 Photonics quantum processor development</v>
      </c>
    </row>
    <row r="78" spans="1:16" ht="37.5">
      <c r="A78" s="237">
        <v>46098.465682870374</v>
      </c>
      <c r="B78" s="196" t="s">
        <v>642</v>
      </c>
      <c r="C78" s="196" t="s">
        <v>783</v>
      </c>
      <c r="D78" s="196" t="s">
        <v>147</v>
      </c>
      <c r="E78" s="196" t="s">
        <v>52</v>
      </c>
      <c r="F78" s="196" t="s">
        <v>784</v>
      </c>
      <c r="G78" s="196" t="s">
        <v>785</v>
      </c>
      <c r="H78" s="196" t="s">
        <v>262</v>
      </c>
      <c r="I78" s="196"/>
      <c r="J78" s="196" t="s">
        <v>786</v>
      </c>
      <c r="K78" s="100" t="e">
        <f>VLOOKUP(G78,Dataset!F:H,2,0)</f>
        <v>#N/A</v>
      </c>
      <c r="L78" s="196" t="s">
        <v>174</v>
      </c>
      <c r="M78" s="99" t="e">
        <f>VLOOKUP(G78,Dataset!F:H,3,0)</f>
        <v>#N/A</v>
      </c>
      <c r="N78" s="291" t="s">
        <v>787</v>
      </c>
    </row>
    <row r="79" spans="1:16" ht="25">
      <c r="A79" s="237">
        <v>46098.466747685183</v>
      </c>
      <c r="B79" s="196" t="s">
        <v>788</v>
      </c>
      <c r="C79" s="196" t="s">
        <v>482</v>
      </c>
      <c r="D79" s="196" t="s">
        <v>147</v>
      </c>
      <c r="E79" s="196" t="s">
        <v>112</v>
      </c>
      <c r="F79" s="196" t="s">
        <v>789</v>
      </c>
      <c r="G79" s="196" t="s">
        <v>790</v>
      </c>
      <c r="H79" s="196" t="s">
        <v>275</v>
      </c>
      <c r="I79" s="196"/>
      <c r="J79" s="196" t="s">
        <v>158</v>
      </c>
      <c r="K79" s="100" t="e">
        <f>VLOOKUP(G79,Dataset!F:H,2,0)</f>
        <v>#N/A</v>
      </c>
      <c r="L79" s="280" t="s">
        <v>209</v>
      </c>
      <c r="M79" s="99" t="e">
        <f>VLOOKUP(G79,Dataset!F:H,3,0)</f>
        <v>#N/A</v>
      </c>
      <c r="N79" s="292" t="s">
        <v>791</v>
      </c>
    </row>
    <row r="80" spans="1:16" s="103" customFormat="1" ht="50">
      <c r="A80" s="237">
        <v>46098.51898148148</v>
      </c>
      <c r="B80" s="196" t="s">
        <v>792</v>
      </c>
      <c r="C80" s="196" t="s">
        <v>793</v>
      </c>
      <c r="D80" s="196" t="s">
        <v>147</v>
      </c>
      <c r="E80" s="196" t="s">
        <v>52</v>
      </c>
      <c r="F80" s="196" t="s">
        <v>794</v>
      </c>
      <c r="G80" s="196" t="s">
        <v>795</v>
      </c>
      <c r="H80" s="196" t="s">
        <v>164</v>
      </c>
      <c r="I80" s="196"/>
      <c r="J80" s="196" t="s">
        <v>216</v>
      </c>
      <c r="K80" s="100" t="str">
        <f>VLOOKUP(G80,Dataset!F:H,2,0)</f>
        <v>IISc Bangalore</v>
      </c>
      <c r="L80" s="176" t="str">
        <f>K80</f>
        <v>IISc Bangalore</v>
      </c>
      <c r="M80" s="99" t="str">
        <f>VLOOKUP(G80,Dataset!F:H,3,0)</f>
        <v>TG 3 Design and Demonstration of a Highly Scalable Quantum Computer using Semiconducting Qubits</v>
      </c>
      <c r="N80" s="176" t="str">
        <f>M80</f>
        <v>TG 3 Design and Demonstration of a Highly Scalable Quantum Computer using Semiconducting Qubits</v>
      </c>
      <c r="O80" s="176"/>
      <c r="P80" s="164"/>
    </row>
    <row r="81" spans="1:16" s="103" customFormat="1" ht="37.5">
      <c r="A81" s="237">
        <v>46098.5309837963</v>
      </c>
      <c r="B81" s="196" t="s">
        <v>796</v>
      </c>
      <c r="C81" s="196" t="s">
        <v>797</v>
      </c>
      <c r="D81" s="196" t="s">
        <v>147</v>
      </c>
      <c r="E81" s="196" t="s">
        <v>52</v>
      </c>
      <c r="F81" s="196" t="s">
        <v>798</v>
      </c>
      <c r="G81" s="196" t="s">
        <v>799</v>
      </c>
      <c r="H81" s="196" t="s">
        <v>262</v>
      </c>
      <c r="I81" s="196"/>
      <c r="J81" s="196" t="s">
        <v>216</v>
      </c>
      <c r="K81" s="100" t="str">
        <f>VLOOKUP(G81,Dataset!F:H,2,0)</f>
        <v>IISc Bangalore</v>
      </c>
      <c r="L81" s="176" t="str">
        <f>K81</f>
        <v>IISc Bangalore</v>
      </c>
      <c r="M81" s="99" t="str">
        <f>VLOOKUP(G81,Dataset!F:H,3,0)</f>
        <v>TG 6 Quantum Computing with Neutral Atoms, Trapped Ions and Related Hybrid Systems</v>
      </c>
      <c r="N81" s="176" t="str">
        <f>M81</f>
        <v>TG 6 Quantum Computing with Neutral Atoms, Trapped Ions and Related Hybrid Systems</v>
      </c>
      <c r="O81" s="176"/>
      <c r="P81" s="164"/>
    </row>
    <row r="82" spans="1:16" s="103" customFormat="1" ht="37.5">
      <c r="A82" s="237">
        <v>46098.565185185187</v>
      </c>
      <c r="B82" s="196" t="s">
        <v>800</v>
      </c>
      <c r="C82" s="196" t="s">
        <v>801</v>
      </c>
      <c r="D82" s="196" t="s">
        <v>147</v>
      </c>
      <c r="E82" s="196" t="s">
        <v>52</v>
      </c>
      <c r="F82" s="196" t="s">
        <v>802</v>
      </c>
      <c r="G82" s="196" t="s">
        <v>803</v>
      </c>
      <c r="H82" s="196" t="s">
        <v>164</v>
      </c>
      <c r="I82" s="196"/>
      <c r="J82" s="196" t="s">
        <v>263</v>
      </c>
      <c r="K82" s="100" t="str">
        <f>VLOOKUP(G82,Dataset!F:H,2,0)</f>
        <v>IISc Bangalore</v>
      </c>
      <c r="L82" s="176" t="str">
        <f>K82</f>
        <v>IISc Bangalore</v>
      </c>
      <c r="M82" s="99" t="str">
        <f>VLOOKUP(G82,Dataset!F:H,3,0)</f>
        <v>TG 1 Photonics quantum processor development</v>
      </c>
      <c r="N82" s="176" t="str">
        <f>M82</f>
        <v>TG 1 Photonics quantum processor development</v>
      </c>
      <c r="O82" s="176"/>
      <c r="P82" s="164"/>
    </row>
    <row r="83" spans="1:16" ht="37.5">
      <c r="A83" s="237">
        <v>46098.597199074073</v>
      </c>
      <c r="B83" s="196" t="s">
        <v>804</v>
      </c>
      <c r="C83" s="196" t="s">
        <v>805</v>
      </c>
      <c r="D83" s="196" t="s">
        <v>147</v>
      </c>
      <c r="E83" s="196" t="s">
        <v>52</v>
      </c>
      <c r="F83" s="196" t="s">
        <v>806</v>
      </c>
      <c r="G83" s="196" t="s">
        <v>807</v>
      </c>
      <c r="H83" s="196" t="s">
        <v>164</v>
      </c>
      <c r="I83" s="196"/>
      <c r="J83" s="196" t="s">
        <v>223</v>
      </c>
      <c r="K83" s="100" t="e">
        <f>VLOOKUP(G83,Dataset!F:H,2,0)</f>
        <v>#N/A</v>
      </c>
      <c r="L83" s="196" t="s">
        <v>174</v>
      </c>
      <c r="M83" s="99" t="e">
        <f>VLOOKUP(G83,Dataset!F:H,3,0)</f>
        <v>#N/A</v>
      </c>
      <c r="N83" s="176" t="s">
        <v>202</v>
      </c>
    </row>
    <row r="84" spans="1:16" s="108" customFormat="1" ht="50">
      <c r="A84" s="237">
        <v>46098.65829861111</v>
      </c>
      <c r="B84" s="196" t="s">
        <v>808</v>
      </c>
      <c r="C84" s="196" t="s">
        <v>809</v>
      </c>
      <c r="D84" s="196" t="s">
        <v>147</v>
      </c>
      <c r="E84" s="196" t="s">
        <v>52</v>
      </c>
      <c r="F84" s="196" t="s">
        <v>810</v>
      </c>
      <c r="G84" s="196" t="s">
        <v>811</v>
      </c>
      <c r="H84" s="196" t="s">
        <v>164</v>
      </c>
      <c r="I84" s="196"/>
      <c r="J84" s="196" t="s">
        <v>216</v>
      </c>
      <c r="K84" s="100" t="str">
        <f>VLOOKUP(G84,Dataset!F:H,2,0)</f>
        <v>IISc Bangalore</v>
      </c>
      <c r="L84" s="196" t="s">
        <v>174</v>
      </c>
      <c r="M84" s="99" t="str">
        <f>VLOOKUP(G84,Dataset!F:H,3,0)</f>
        <v>TG 3 Design and Demonstration of a Highly Scalable Quantum Computer using Semiconducting Qubits</v>
      </c>
      <c r="N84" s="176" t="s">
        <v>202</v>
      </c>
      <c r="O84"/>
    </row>
    <row r="85" spans="1:16" s="108" customFormat="1" ht="37.5">
      <c r="A85" s="237">
        <v>46098.705000000002</v>
      </c>
      <c r="B85" s="196" t="s">
        <v>815</v>
      </c>
      <c r="C85" s="196" t="s">
        <v>816</v>
      </c>
      <c r="D85" s="196" t="s">
        <v>147</v>
      </c>
      <c r="E85" s="196" t="s">
        <v>104</v>
      </c>
      <c r="F85" s="196" t="s">
        <v>817</v>
      </c>
      <c r="G85" s="196" t="s">
        <v>818</v>
      </c>
      <c r="H85" s="196" t="s">
        <v>164</v>
      </c>
      <c r="I85" s="196"/>
      <c r="J85" s="196" t="s">
        <v>143</v>
      </c>
      <c r="K85" s="100" t="e">
        <f>VLOOKUP(G85,Dataset!F:H,2,0)</f>
        <v>#N/A</v>
      </c>
      <c r="L85" s="196" t="s">
        <v>819</v>
      </c>
      <c r="M85" s="99" t="e">
        <f>VLOOKUP(G85,Dataset!F:H,3,0)</f>
        <v>#N/A</v>
      </c>
      <c r="N85" s="176" t="s">
        <v>820</v>
      </c>
      <c r="O85"/>
    </row>
    <row r="86" spans="1:16" ht="37.5">
      <c r="A86" s="237">
        <v>46098.789282407408</v>
      </c>
      <c r="B86" s="196" t="s">
        <v>821</v>
      </c>
      <c r="C86" s="196" t="s">
        <v>482</v>
      </c>
      <c r="D86" s="196" t="s">
        <v>147</v>
      </c>
      <c r="E86" s="196" t="s">
        <v>52</v>
      </c>
      <c r="F86" s="196" t="s">
        <v>822</v>
      </c>
      <c r="G86" s="196" t="s">
        <v>823</v>
      </c>
      <c r="H86" s="196" t="s">
        <v>164</v>
      </c>
      <c r="I86" s="196"/>
      <c r="J86" s="196" t="s">
        <v>263</v>
      </c>
      <c r="K86" s="100" t="str">
        <f>VLOOKUP(G86,Dataset!F:H,2,0)</f>
        <v>IISc Bangalore</v>
      </c>
      <c r="L86" s="176" t="str">
        <f>K86</f>
        <v>IISc Bangalore</v>
      </c>
      <c r="M86" s="99" t="str">
        <f>VLOOKUP(G86,Dataset!F:H,3,0)</f>
        <v>TG 5 Quantum computers with Superconducting Qubits</v>
      </c>
      <c r="N86" s="176" t="str">
        <f>M86</f>
        <v>TG 5 Quantum computers with Superconducting Qubits</v>
      </c>
    </row>
    <row r="87" spans="1:16" ht="37.5">
      <c r="A87" s="237">
        <v>46098.792025462964</v>
      </c>
      <c r="B87" s="196" t="s">
        <v>824</v>
      </c>
      <c r="C87" s="196" t="s">
        <v>825</v>
      </c>
      <c r="D87" s="196" t="s">
        <v>147</v>
      </c>
      <c r="E87" s="196" t="s">
        <v>52</v>
      </c>
      <c r="F87" s="196" t="s">
        <v>826</v>
      </c>
      <c r="G87" s="196" t="s">
        <v>827</v>
      </c>
      <c r="H87" s="196" t="s">
        <v>262</v>
      </c>
      <c r="I87" s="196"/>
      <c r="J87" s="196" t="s">
        <v>173</v>
      </c>
      <c r="K87" s="100" t="str">
        <f>VLOOKUP(G87,Dataset!F:H,2,0)</f>
        <v>IISc Bangalore</v>
      </c>
      <c r="L87" s="176" t="str">
        <f>K87</f>
        <v>IISc Bangalore</v>
      </c>
      <c r="M87" s="99" t="str">
        <f>VLOOKUP(G87,Dataset!F:H,3,0)</f>
        <v>TG 5 Quantum computers with Superconducting Qubits</v>
      </c>
      <c r="N87" s="176" t="str">
        <f>M87</f>
        <v>TG 5 Quantum computers with Superconducting Qubits</v>
      </c>
    </row>
    <row r="88" spans="1:16" ht="37.5">
      <c r="A88" s="237">
        <v>46098.86614583333</v>
      </c>
      <c r="B88" s="196" t="s">
        <v>829</v>
      </c>
      <c r="C88" s="196" t="s">
        <v>830</v>
      </c>
      <c r="D88" s="196" t="s">
        <v>147</v>
      </c>
      <c r="E88" s="196" t="s">
        <v>52</v>
      </c>
      <c r="F88" s="196" t="s">
        <v>831</v>
      </c>
      <c r="G88" s="196" t="s">
        <v>832</v>
      </c>
      <c r="H88" s="196" t="s">
        <v>164</v>
      </c>
      <c r="I88" s="196"/>
      <c r="J88" s="196" t="s">
        <v>653</v>
      </c>
      <c r="K88" s="100" t="str">
        <f>VLOOKUP(G88,Dataset!F:H,2,0)</f>
        <v>IISc Bangalore</v>
      </c>
      <c r="L88" s="176" t="str">
        <f>K88</f>
        <v>IISc Bangalore</v>
      </c>
      <c r="M88" s="99" t="str">
        <f>VLOOKUP(G88,Dataset!F:H,3,0)</f>
        <v>TG 6 Quantum Computing with Neutral Atoms, Trapped Ions and Related Hybrid Systems</v>
      </c>
      <c r="N88" s="176" t="str">
        <f>M88</f>
        <v>TG 6 Quantum Computing with Neutral Atoms, Trapped Ions and Related Hybrid Systems</v>
      </c>
    </row>
    <row r="89" spans="1:16" s="103" customFormat="1" ht="37.5">
      <c r="A89" s="237">
        <v>46098.972372685188</v>
      </c>
      <c r="B89" s="196" t="s">
        <v>836</v>
      </c>
      <c r="C89" s="196" t="s">
        <v>837</v>
      </c>
      <c r="D89" s="196" t="s">
        <v>147</v>
      </c>
      <c r="E89" s="196" t="s">
        <v>52</v>
      </c>
      <c r="F89" s="196" t="s">
        <v>838</v>
      </c>
      <c r="G89" s="196" t="s">
        <v>839</v>
      </c>
      <c r="H89" s="196" t="s">
        <v>164</v>
      </c>
      <c r="I89" s="196"/>
      <c r="J89" s="196" t="s">
        <v>173</v>
      </c>
      <c r="K89" s="100" t="str">
        <f>VLOOKUP(G89,Dataset!F:H,2,0)</f>
        <v>IISc Bangalore</v>
      </c>
      <c r="L89" s="176" t="str">
        <f>K89</f>
        <v>IISc Bangalore</v>
      </c>
      <c r="M89" s="99" t="str">
        <f>VLOOKUP(G89,Dataset!F:H,3,0)</f>
        <v>TG 5 Quantum computers with Superconducting Qubits</v>
      </c>
      <c r="N89" s="176" t="str">
        <f>M89</f>
        <v>TG 5 Quantum computers with Superconducting Qubits</v>
      </c>
      <c r="O89" s="176"/>
      <c r="P89" s="164"/>
    </row>
    <row r="90" spans="1:16" s="108" customFormat="1" ht="37.5">
      <c r="A90" s="237">
        <v>46099.317615740743</v>
      </c>
      <c r="B90" s="196" t="s">
        <v>840</v>
      </c>
      <c r="C90" s="196" t="s">
        <v>841</v>
      </c>
      <c r="D90" s="196" t="s">
        <v>147</v>
      </c>
      <c r="E90" s="196" t="s">
        <v>52</v>
      </c>
      <c r="F90" s="196" t="s">
        <v>842</v>
      </c>
      <c r="G90" s="196" t="s">
        <v>843</v>
      </c>
      <c r="H90" s="196" t="s">
        <v>262</v>
      </c>
      <c r="I90" s="196"/>
      <c r="J90" s="196" t="s">
        <v>182</v>
      </c>
      <c r="K90" s="100" t="e">
        <f>VLOOKUP(G90,Dataset!F:H,2,0)</f>
        <v>#N/A</v>
      </c>
      <c r="L90" s="196" t="s">
        <v>174</v>
      </c>
      <c r="M90" s="99" t="e">
        <f>VLOOKUP(G90,Dataset!F:H,3,0)</f>
        <v>#N/A</v>
      </c>
      <c r="N90" s="176" t="s">
        <v>408</v>
      </c>
      <c r="O90"/>
    </row>
    <row r="91" spans="1:16" ht="37.5">
      <c r="A91" s="237">
        <v>46099.413738425923</v>
      </c>
      <c r="B91" s="196" t="s">
        <v>844</v>
      </c>
      <c r="C91" s="196" t="s">
        <v>845</v>
      </c>
      <c r="D91" s="196" t="s">
        <v>147</v>
      </c>
      <c r="E91" s="196" t="s">
        <v>104</v>
      </c>
      <c r="F91" s="196" t="s">
        <v>846</v>
      </c>
      <c r="G91" s="196" t="s">
        <v>847</v>
      </c>
      <c r="H91" s="196" t="s">
        <v>262</v>
      </c>
      <c r="I91" s="196"/>
      <c r="J91" s="196" t="s">
        <v>158</v>
      </c>
      <c r="K91" s="100" t="str">
        <f>VLOOKUP(G91,Dataset!F:H,2,0)</f>
        <v>IIT Bombay</v>
      </c>
      <c r="L91" s="196" t="s">
        <v>144</v>
      </c>
      <c r="M91" s="99" t="str">
        <f>VLOOKUP(G91,Dataset!F:H,3,0)</f>
        <v>TG 1 Anand Jha</v>
      </c>
      <c r="N91" s="290" t="str">
        <f>M91</f>
        <v>TG 1 Anand Jha</v>
      </c>
    </row>
    <row r="92" spans="1:16" s="103" customFormat="1" ht="25">
      <c r="A92" s="268">
        <v>46105.381597222222</v>
      </c>
      <c r="B92" s="195" t="s">
        <v>1579</v>
      </c>
      <c r="C92" s="195" t="s">
        <v>212</v>
      </c>
      <c r="D92" s="195" t="s">
        <v>147</v>
      </c>
      <c r="E92" s="176"/>
      <c r="F92" s="195" t="s">
        <v>1580</v>
      </c>
      <c r="G92" s="195" t="s">
        <v>1019</v>
      </c>
      <c r="H92" s="195" t="s">
        <v>151</v>
      </c>
      <c r="I92" s="176" t="s">
        <v>52</v>
      </c>
      <c r="J92" s="195" t="s">
        <v>223</v>
      </c>
      <c r="K92" s="102" t="str">
        <f>VLOOKUP(G92,Dataset!F:H,2,0)</f>
        <v>IISc Bangalore</v>
      </c>
      <c r="L92" s="196" t="s">
        <v>174</v>
      </c>
      <c r="M92" s="176"/>
      <c r="N92" s="176"/>
      <c r="O92" s="176"/>
      <c r="P92" s="164"/>
    </row>
    <row r="93" spans="1:16" ht="37.5">
      <c r="A93" s="268">
        <v>46105.640752314815</v>
      </c>
      <c r="B93" s="195" t="s">
        <v>1583</v>
      </c>
      <c r="C93" s="195" t="s">
        <v>1584</v>
      </c>
      <c r="D93" s="195" t="s">
        <v>401</v>
      </c>
      <c r="E93" s="176"/>
      <c r="F93" s="195" t="s">
        <v>1586</v>
      </c>
      <c r="G93" s="195" t="s">
        <v>1585</v>
      </c>
      <c r="H93" s="195" t="s">
        <v>472</v>
      </c>
      <c r="I93" s="195" t="s">
        <v>1652</v>
      </c>
      <c r="J93" s="195" t="s">
        <v>1653</v>
      </c>
      <c r="K93" s="102" t="e">
        <f>VLOOKUP(G93,Dataset!F:H,2,0)</f>
        <v>#N/A</v>
      </c>
      <c r="L93" s="176" t="s">
        <v>93</v>
      </c>
      <c r="M93" s="176"/>
      <c r="N93" s="176"/>
      <c r="O93" t="s">
        <v>1702</v>
      </c>
    </row>
    <row r="94" spans="1:16" ht="37.5">
      <c r="A94" s="268">
        <v>46105.747060185182</v>
      </c>
      <c r="B94" s="195" t="s">
        <v>1654</v>
      </c>
      <c r="C94" s="195" t="s">
        <v>1655</v>
      </c>
      <c r="D94" s="195" t="s">
        <v>401</v>
      </c>
      <c r="E94" s="176"/>
      <c r="F94" s="195" t="s">
        <v>1656</v>
      </c>
      <c r="G94" s="195" t="s">
        <v>1657</v>
      </c>
      <c r="H94" s="195" t="s">
        <v>1658</v>
      </c>
      <c r="I94" s="195" t="s">
        <v>1659</v>
      </c>
      <c r="J94" s="195" t="s">
        <v>1660</v>
      </c>
      <c r="K94" s="102" t="e">
        <f>VLOOKUP(G94,Dataset!F:H,2,0)</f>
        <v>#N/A</v>
      </c>
      <c r="L94" s="176" t="s">
        <v>93</v>
      </c>
      <c r="M94" s="176"/>
      <c r="N94" s="291"/>
      <c r="O94" t="s">
        <v>1703</v>
      </c>
    </row>
    <row r="95" spans="1:16" ht="25">
      <c r="A95" s="268">
        <v>46105.922905092593</v>
      </c>
      <c r="B95" s="195" t="s">
        <v>1665</v>
      </c>
      <c r="C95" s="195" t="s">
        <v>212</v>
      </c>
      <c r="D95" s="195" t="s">
        <v>147</v>
      </c>
      <c r="E95" s="176"/>
      <c r="F95" s="195" t="s">
        <v>1666</v>
      </c>
      <c r="G95" s="195" t="s">
        <v>1613</v>
      </c>
      <c r="H95" s="195" t="s">
        <v>164</v>
      </c>
      <c r="I95" s="195"/>
      <c r="J95" s="195" t="s">
        <v>143</v>
      </c>
      <c r="K95" s="102" t="e">
        <f>VLOOKUP(G95,Dataset!F:H,2,0)</f>
        <v>#N/A</v>
      </c>
      <c r="L95" s="196" t="s">
        <v>220</v>
      </c>
      <c r="M95" s="176"/>
      <c r="N95" s="176" t="s">
        <v>210</v>
      </c>
    </row>
    <row r="96" spans="1:16" s="108" customFormat="1" ht="50">
      <c r="A96" s="268">
        <v>46105.964432870373</v>
      </c>
      <c r="B96" s="195" t="s">
        <v>1667</v>
      </c>
      <c r="C96" s="195" t="s">
        <v>1668</v>
      </c>
      <c r="D96" s="195" t="s">
        <v>401</v>
      </c>
      <c r="E96" s="176"/>
      <c r="F96" s="195" t="s">
        <v>1669</v>
      </c>
      <c r="G96" s="195" t="s">
        <v>1670</v>
      </c>
      <c r="H96" s="195" t="s">
        <v>1671</v>
      </c>
      <c r="I96" s="195" t="s">
        <v>696</v>
      </c>
      <c r="J96" s="195" t="s">
        <v>1672</v>
      </c>
      <c r="K96" s="102" t="e">
        <f>VLOOKUP(G96,Dataset!F:H,2,0)</f>
        <v>#N/A</v>
      </c>
      <c r="L96" s="176" t="s">
        <v>93</v>
      </c>
      <c r="M96" s="176"/>
      <c r="N96" s="176"/>
      <c r="O96" t="s">
        <v>2495</v>
      </c>
    </row>
    <row r="97" spans="1:16" s="103" customFormat="1" ht="25">
      <c r="A97" s="268">
        <v>46106.718761574077</v>
      </c>
      <c r="B97" s="195" t="s">
        <v>1673</v>
      </c>
      <c r="C97" s="195" t="s">
        <v>442</v>
      </c>
      <c r="D97" s="195" t="s">
        <v>147</v>
      </c>
      <c r="E97" s="176"/>
      <c r="F97" s="195" t="s">
        <v>1674</v>
      </c>
      <c r="G97" s="195" t="s">
        <v>1675</v>
      </c>
      <c r="H97" s="195" t="s">
        <v>164</v>
      </c>
      <c r="I97" s="195"/>
      <c r="J97" s="195" t="s">
        <v>143</v>
      </c>
      <c r="K97" s="102" t="e">
        <f>VLOOKUP(G97,Dataset!F:H,2,0)</f>
        <v>#N/A</v>
      </c>
      <c r="L97" s="195" t="s">
        <v>220</v>
      </c>
      <c r="M97" s="176"/>
      <c r="N97" s="285" t="s">
        <v>210</v>
      </c>
      <c r="O97" s="285"/>
      <c r="P97" s="164"/>
    </row>
    <row r="98" spans="1:16" s="108" customFormat="1" ht="25">
      <c r="A98" s="268">
        <v>46106.722627314812</v>
      </c>
      <c r="B98" s="195" t="s">
        <v>1676</v>
      </c>
      <c r="C98" s="195" t="s">
        <v>1677</v>
      </c>
      <c r="D98" s="195" t="s">
        <v>147</v>
      </c>
      <c r="E98" s="176"/>
      <c r="F98" s="195" t="s">
        <v>1678</v>
      </c>
      <c r="G98" s="195" t="s">
        <v>1679</v>
      </c>
      <c r="H98" s="195" t="s">
        <v>262</v>
      </c>
      <c r="I98" s="195"/>
      <c r="J98" s="195" t="s">
        <v>143</v>
      </c>
      <c r="K98" s="102" t="e">
        <f>VLOOKUP(G98,Dataset!F:H,2,0)</f>
        <v>#N/A</v>
      </c>
      <c r="L98" s="195" t="s">
        <v>220</v>
      </c>
      <c r="M98" s="176"/>
      <c r="N98" s="176" t="s">
        <v>1169</v>
      </c>
      <c r="O98"/>
    </row>
    <row r="99" spans="1:16" ht="25">
      <c r="A99" s="268">
        <v>46106.723587962966</v>
      </c>
      <c r="B99" s="195" t="s">
        <v>1680</v>
      </c>
      <c r="C99" s="195" t="s">
        <v>258</v>
      </c>
      <c r="D99" s="195" t="s">
        <v>147</v>
      </c>
      <c r="E99" s="176"/>
      <c r="F99" s="195" t="s">
        <v>1681</v>
      </c>
      <c r="G99" s="195" t="s">
        <v>1682</v>
      </c>
      <c r="H99" s="195" t="s">
        <v>151</v>
      </c>
      <c r="I99" s="195"/>
      <c r="J99" s="195" t="s">
        <v>158</v>
      </c>
      <c r="K99" s="102" t="e">
        <f>VLOOKUP(G99,Dataset!F:H,2,0)</f>
        <v>#N/A</v>
      </c>
      <c r="L99" s="195" t="s">
        <v>220</v>
      </c>
      <c r="M99" s="176"/>
      <c r="N99" s="291" t="s">
        <v>1169</v>
      </c>
    </row>
    <row r="100" spans="1:16" ht="25">
      <c r="A100" s="268">
        <v>46106.729861111111</v>
      </c>
      <c r="B100" s="195" t="s">
        <v>1683</v>
      </c>
      <c r="C100" s="195" t="s">
        <v>1684</v>
      </c>
      <c r="D100" s="195" t="s">
        <v>147</v>
      </c>
      <c r="E100" s="176"/>
      <c r="F100" s="195" t="s">
        <v>1685</v>
      </c>
      <c r="G100" s="195" t="s">
        <v>1145</v>
      </c>
      <c r="H100" s="195" t="s">
        <v>262</v>
      </c>
      <c r="I100" s="195"/>
      <c r="J100" s="195" t="s">
        <v>143</v>
      </c>
      <c r="K100" s="102" t="str">
        <f>VLOOKUP(G100,Dataset!F:H,2,0)</f>
        <v>IIT Delhi</v>
      </c>
      <c r="L100" s="195" t="s">
        <v>220</v>
      </c>
      <c r="M100" s="176"/>
      <c r="N100" s="176"/>
    </row>
    <row r="101" spans="1:16" ht="25">
      <c r="A101" s="268">
        <v>46106.739548611113</v>
      </c>
      <c r="B101" s="195" t="s">
        <v>1686</v>
      </c>
      <c r="C101" s="195" t="s">
        <v>1687</v>
      </c>
      <c r="D101" s="195" t="s">
        <v>147</v>
      </c>
      <c r="E101" s="176"/>
      <c r="F101" s="195" t="s">
        <v>1688</v>
      </c>
      <c r="G101" s="195" t="s">
        <v>1123</v>
      </c>
      <c r="H101" s="195" t="s">
        <v>262</v>
      </c>
      <c r="I101" s="195"/>
      <c r="J101" s="195" t="s">
        <v>143</v>
      </c>
      <c r="K101" s="102" t="str">
        <f>VLOOKUP(G101,Dataset!F:H,2,0)</f>
        <v>IIT Delhi</v>
      </c>
      <c r="L101" s="195" t="s">
        <v>220</v>
      </c>
      <c r="M101" s="176"/>
      <c r="N101" s="176"/>
    </row>
    <row r="102" spans="1:16" ht="25">
      <c r="A102" s="268">
        <v>46106.743773148148</v>
      </c>
      <c r="B102" s="195" t="s">
        <v>1689</v>
      </c>
      <c r="C102" s="195" t="s">
        <v>1690</v>
      </c>
      <c r="D102" s="195" t="s">
        <v>147</v>
      </c>
      <c r="E102" s="176"/>
      <c r="F102" s="195" t="s">
        <v>1691</v>
      </c>
      <c r="G102" s="195" t="s">
        <v>1130</v>
      </c>
      <c r="H102" s="195" t="s">
        <v>262</v>
      </c>
      <c r="I102" s="195"/>
      <c r="J102" s="195" t="s">
        <v>216</v>
      </c>
      <c r="K102" s="102" t="str">
        <f>VLOOKUP(G102,Dataset!F:H,2,0)</f>
        <v>IIT Delhi</v>
      </c>
      <c r="L102" s="195" t="s">
        <v>220</v>
      </c>
      <c r="M102" s="176"/>
      <c r="N102" s="176"/>
    </row>
    <row r="103" spans="1:16" s="103" customFormat="1" ht="25">
      <c r="A103" s="268">
        <v>46107.739918981482</v>
      </c>
      <c r="B103" s="195" t="s">
        <v>252</v>
      </c>
      <c r="C103" s="195" t="s">
        <v>1696</v>
      </c>
      <c r="D103" s="195" t="s">
        <v>147</v>
      </c>
      <c r="E103" s="195"/>
      <c r="F103" s="195" t="s">
        <v>1697</v>
      </c>
      <c r="G103" s="195" t="s">
        <v>1180</v>
      </c>
      <c r="H103" s="195" t="s">
        <v>151</v>
      </c>
      <c r="I103" s="195"/>
      <c r="J103" s="195" t="s">
        <v>158</v>
      </c>
      <c r="K103" s="102" t="str">
        <f>VLOOKUP(G103,Dataset!F:H,2,0)</f>
        <v>IIT Delhi</v>
      </c>
      <c r="L103" s="195" t="s">
        <v>220</v>
      </c>
      <c r="M103" s="176"/>
      <c r="N103" s="176"/>
      <c r="O103" s="176"/>
      <c r="P103" s="164"/>
    </row>
    <row r="104" spans="1:16" s="103" customFormat="1" ht="37.5">
      <c r="A104" s="268">
        <v>46107.924062500002</v>
      </c>
      <c r="B104" s="195" t="s">
        <v>1698</v>
      </c>
      <c r="C104" s="195" t="s">
        <v>1699</v>
      </c>
      <c r="D104" s="195" t="s">
        <v>401</v>
      </c>
      <c r="E104" s="195"/>
      <c r="F104" s="195" t="s">
        <v>1700</v>
      </c>
      <c r="G104" s="195" t="s">
        <v>98</v>
      </c>
      <c r="H104" s="195" t="s">
        <v>681</v>
      </c>
      <c r="I104" s="195" t="s">
        <v>930</v>
      </c>
      <c r="J104" s="195" t="s">
        <v>208</v>
      </c>
      <c r="K104" s="102" t="e">
        <f>VLOOKUP(G104,Dataset!F:H,2,0)</f>
        <v>#N/A</v>
      </c>
      <c r="L104" s="176" t="s">
        <v>93</v>
      </c>
      <c r="M104" s="176"/>
      <c r="N104" s="176"/>
      <c r="O104" t="s">
        <v>2495</v>
      </c>
      <c r="P104" s="164"/>
    </row>
    <row r="105" spans="1:16" s="103" customFormat="1" ht="25">
      <c r="A105" s="237">
        <v>46108.559224537035</v>
      </c>
      <c r="B105" s="196" t="s">
        <v>1800</v>
      </c>
      <c r="C105" s="196" t="s">
        <v>1801</v>
      </c>
      <c r="D105" s="196" t="s">
        <v>147</v>
      </c>
      <c r="E105" s="196"/>
      <c r="F105" s="196" t="s">
        <v>1802</v>
      </c>
      <c r="G105" s="196" t="s">
        <v>997</v>
      </c>
      <c r="H105" s="196" t="s">
        <v>151</v>
      </c>
      <c r="I105" s="196"/>
      <c r="J105" s="196" t="s">
        <v>363</v>
      </c>
      <c r="K105" s="276" t="s">
        <v>93</v>
      </c>
      <c r="L105" s="196"/>
      <c r="M105" s="196"/>
      <c r="N105" s="196"/>
      <c r="O105" s="196"/>
      <c r="P105" s="164"/>
    </row>
    <row r="106" spans="1:16" ht="25.5" thickBot="1">
      <c r="A106" s="237">
        <v>46108.625555555554</v>
      </c>
      <c r="B106" s="196" t="s">
        <v>1803</v>
      </c>
      <c r="C106" s="196" t="s">
        <v>679</v>
      </c>
      <c r="D106" s="196" t="s">
        <v>147</v>
      </c>
      <c r="E106" s="196"/>
      <c r="F106" s="196" t="s">
        <v>1804</v>
      </c>
      <c r="G106" s="196" t="s">
        <v>1037</v>
      </c>
      <c r="H106" s="196" t="s">
        <v>151</v>
      </c>
      <c r="I106" s="196"/>
      <c r="J106" s="196" t="s">
        <v>269</v>
      </c>
      <c r="K106" s="276" t="s">
        <v>112</v>
      </c>
      <c r="L106" s="196"/>
      <c r="M106" s="196"/>
      <c r="N106" s="200"/>
      <c r="O106" s="200"/>
    </row>
    <row r="107" spans="1:16" ht="25.5" thickBot="1">
      <c r="A107" s="517">
        <v>46080.479930555557</v>
      </c>
      <c r="B107" s="518" t="s">
        <v>183</v>
      </c>
      <c r="C107" s="518" t="s">
        <v>184</v>
      </c>
      <c r="D107" s="518" t="s">
        <v>147</v>
      </c>
      <c r="E107" s="518" t="s">
        <v>144</v>
      </c>
      <c r="F107" s="518" t="s">
        <v>185</v>
      </c>
      <c r="G107" s="518" t="s">
        <v>186</v>
      </c>
      <c r="H107" s="518" t="s">
        <v>187</v>
      </c>
      <c r="I107" s="518"/>
      <c r="J107" s="518" t="s">
        <v>143</v>
      </c>
      <c r="K107" s="100" t="e">
        <f>VLOOKUP(G107,Dataset!F:H,2,0)</f>
        <v>#N/A</v>
      </c>
      <c r="L107" s="19" t="s">
        <v>209</v>
      </c>
      <c r="M107" s="99" t="e">
        <f>VLOOKUP(G107,Dataset!F:H,3,0)</f>
        <v>#N/A</v>
      </c>
      <c r="N107" s="19"/>
      <c r="O107" s="19"/>
    </row>
    <row r="108" spans="1:16" s="108" customFormat="1" ht="50.5" thickBot="1">
      <c r="A108" s="267">
        <v>46079.797453703701</v>
      </c>
      <c r="B108" s="270" t="s">
        <v>129</v>
      </c>
      <c r="C108" s="270" t="s">
        <v>130</v>
      </c>
      <c r="D108" s="270" t="s">
        <v>131</v>
      </c>
      <c r="E108" s="270"/>
      <c r="F108" s="270" t="s">
        <v>132</v>
      </c>
      <c r="G108" s="274" t="s">
        <v>133</v>
      </c>
      <c r="H108" s="270" t="s">
        <v>134</v>
      </c>
      <c r="I108" s="270" t="s">
        <v>135</v>
      </c>
      <c r="J108" s="270" t="s">
        <v>136</v>
      </c>
      <c r="K108" s="111" t="e">
        <f>VLOOKUP(G108,Dataset!F:H,2,0)</f>
        <v>#N/A</v>
      </c>
      <c r="L108" s="284" t="s">
        <v>137</v>
      </c>
      <c r="M108" s="112" t="e">
        <f>VLOOKUP(G108,Dataset!F:H,3,0)</f>
        <v>#N/A</v>
      </c>
      <c r="N108" s="296" t="s">
        <v>134</v>
      </c>
      <c r="O108" s="296"/>
    </row>
    <row r="109" spans="1:16" s="103" customFormat="1" ht="25">
      <c r="A109" s="109">
        <v>46079.806747685187</v>
      </c>
      <c r="B109" s="110" t="s">
        <v>138</v>
      </c>
      <c r="C109" s="110" t="s">
        <v>139</v>
      </c>
      <c r="D109" s="110" t="s">
        <v>131</v>
      </c>
      <c r="E109" s="110"/>
      <c r="F109" s="110" t="s">
        <v>140</v>
      </c>
      <c r="G109" s="110" t="s">
        <v>141</v>
      </c>
      <c r="H109" s="110" t="s">
        <v>134</v>
      </c>
      <c r="I109" s="110" t="s">
        <v>142</v>
      </c>
      <c r="J109" s="110" t="s">
        <v>143</v>
      </c>
      <c r="K109" s="111" t="e">
        <f>VLOOKUP(G109,Dataset!F:H,2,0)</f>
        <v>#N/A</v>
      </c>
      <c r="L109" s="114" t="s">
        <v>144</v>
      </c>
      <c r="M109" s="112" t="e">
        <f>VLOOKUP(G109,Dataset!F:H,3,0)</f>
        <v>#N/A</v>
      </c>
      <c r="N109" s="115" t="s">
        <v>134</v>
      </c>
      <c r="O109" s="115"/>
      <c r="P109" s="164"/>
    </row>
    <row r="110" spans="1:16" s="103" customFormat="1" ht="25.5" thickBot="1">
      <c r="A110" s="109">
        <v>46080.390682870369</v>
      </c>
      <c r="B110" s="110" t="s">
        <v>167</v>
      </c>
      <c r="C110" s="110" t="s">
        <v>168</v>
      </c>
      <c r="D110" s="110" t="s">
        <v>131</v>
      </c>
      <c r="E110" s="110"/>
      <c r="F110" s="110" t="s">
        <v>169</v>
      </c>
      <c r="G110" s="110" t="s">
        <v>170</v>
      </c>
      <c r="H110" s="110" t="s">
        <v>171</v>
      </c>
      <c r="I110" s="110" t="s">
        <v>172</v>
      </c>
      <c r="J110" s="110" t="s">
        <v>173</v>
      </c>
      <c r="K110" s="111" t="e">
        <f>VLOOKUP(G110,Dataset!F:H,2,0)</f>
        <v>#N/A</v>
      </c>
      <c r="L110" s="111" t="s">
        <v>174</v>
      </c>
      <c r="M110" s="112" t="e">
        <f>VLOOKUP(G110,Dataset!F:H,3,0)</f>
        <v>#N/A</v>
      </c>
      <c r="N110" s="111" t="s">
        <v>175</v>
      </c>
      <c r="O110" s="111"/>
      <c r="P110" s="164"/>
    </row>
    <row r="111" spans="1:16" s="108" customFormat="1" ht="38" thickBot="1">
      <c r="A111" s="267">
        <v>46080.39435185185</v>
      </c>
      <c r="B111" s="270" t="s">
        <v>176</v>
      </c>
      <c r="C111" s="270" t="s">
        <v>177</v>
      </c>
      <c r="D111" s="270" t="s">
        <v>178</v>
      </c>
      <c r="E111" s="270"/>
      <c r="F111" s="270" t="s">
        <v>179</v>
      </c>
      <c r="G111" s="270" t="s">
        <v>180</v>
      </c>
      <c r="H111" s="270" t="s">
        <v>134</v>
      </c>
      <c r="I111" s="270" t="s">
        <v>181</v>
      </c>
      <c r="J111" s="270" t="s">
        <v>182</v>
      </c>
      <c r="K111" s="279" t="e">
        <f>VLOOKUP(G111,Dataset!F:H,2,0)</f>
        <v>#N/A</v>
      </c>
      <c r="L111" s="297" t="s">
        <v>181</v>
      </c>
      <c r="M111" s="287" t="e">
        <f>VLOOKUP(G111,Dataset!F:H,3,0)</f>
        <v>#N/A</v>
      </c>
      <c r="N111" s="279" t="s">
        <v>175</v>
      </c>
      <c r="O111" s="279"/>
    </row>
    <row r="112" spans="1:16" ht="25.5" thickBot="1">
      <c r="A112" s="267">
        <v>46084.518333333333</v>
      </c>
      <c r="B112" s="270" t="s">
        <v>218</v>
      </c>
      <c r="C112" s="270" t="s">
        <v>219</v>
      </c>
      <c r="D112" s="270" t="s">
        <v>147</v>
      </c>
      <c r="E112" s="270" t="s">
        <v>220</v>
      </c>
      <c r="F112" s="270" t="s">
        <v>221</v>
      </c>
      <c r="G112" s="270" t="s">
        <v>222</v>
      </c>
      <c r="H112" s="270" t="s">
        <v>134</v>
      </c>
      <c r="I112" s="270"/>
      <c r="J112" s="270" t="s">
        <v>223</v>
      </c>
      <c r="K112" s="111" t="e">
        <f>VLOOKUP(G112,Dataset!F:H,2,0)</f>
        <v>#N/A</v>
      </c>
      <c r="L112" s="279" t="s">
        <v>209</v>
      </c>
      <c r="M112" s="112" t="e">
        <f>VLOOKUP(G112,Dataset!F:H,3,0)</f>
        <v>#N/A</v>
      </c>
      <c r="N112" s="279" t="s">
        <v>134</v>
      </c>
      <c r="O112" s="279"/>
    </row>
    <row r="113" spans="1:16" ht="25.5" thickBot="1">
      <c r="A113" s="267">
        <v>46085.564375000002</v>
      </c>
      <c r="B113" s="270" t="s">
        <v>281</v>
      </c>
      <c r="C113" s="270" t="s">
        <v>282</v>
      </c>
      <c r="D113" s="270" t="s">
        <v>131</v>
      </c>
      <c r="E113" s="270"/>
      <c r="F113" s="270" t="s">
        <v>283</v>
      </c>
      <c r="G113" s="270" t="s">
        <v>284</v>
      </c>
      <c r="H113" s="270" t="s">
        <v>285</v>
      </c>
      <c r="I113" s="270" t="s">
        <v>142</v>
      </c>
      <c r="J113" s="270" t="s">
        <v>143</v>
      </c>
      <c r="K113" s="111" t="e">
        <f>VLOOKUP(G113,Dataset!F:H,2,0)</f>
        <v>#N/A</v>
      </c>
      <c r="L113" s="279" t="s">
        <v>144</v>
      </c>
      <c r="M113" s="112" t="e">
        <f>VLOOKUP(G113,Dataset!F:H,3,0)</f>
        <v>#N/A</v>
      </c>
      <c r="N113" s="288" t="s">
        <v>43</v>
      </c>
      <c r="O113" s="288"/>
    </row>
    <row r="114" spans="1:16" s="108" customFormat="1" ht="25.5" thickBot="1">
      <c r="A114" s="267">
        <v>46086.980925925927</v>
      </c>
      <c r="B114" s="270" t="s">
        <v>371</v>
      </c>
      <c r="C114" s="270" t="s">
        <v>372</v>
      </c>
      <c r="D114" s="270" t="s">
        <v>147</v>
      </c>
      <c r="E114" s="270" t="s">
        <v>373</v>
      </c>
      <c r="F114" s="270" t="s">
        <v>374</v>
      </c>
      <c r="G114" s="270" t="s">
        <v>375</v>
      </c>
      <c r="H114" s="270" t="s">
        <v>376</v>
      </c>
      <c r="I114" s="270"/>
      <c r="J114" s="270" t="s">
        <v>158</v>
      </c>
      <c r="K114" s="111" t="e">
        <f>VLOOKUP(G114,Dataset!F:H,2,0)</f>
        <v>#N/A</v>
      </c>
      <c r="L114" s="279" t="s">
        <v>209</v>
      </c>
      <c r="M114" s="112" t="e">
        <f>VLOOKUP(G114,Dataset!F:H,3,0)</f>
        <v>#N/A</v>
      </c>
      <c r="N114" s="279" t="s">
        <v>43</v>
      </c>
      <c r="O114" s="279"/>
    </row>
    <row r="115" spans="1:16" s="108" customFormat="1" ht="25.5" thickBot="1">
      <c r="A115" s="267">
        <v>46091.523599537039</v>
      </c>
      <c r="B115" s="270" t="s">
        <v>496</v>
      </c>
      <c r="C115" s="270" t="s">
        <v>497</v>
      </c>
      <c r="D115" s="270" t="s">
        <v>147</v>
      </c>
      <c r="E115" s="270" t="s">
        <v>498</v>
      </c>
      <c r="F115" s="270" t="s">
        <v>499</v>
      </c>
      <c r="G115" s="270" t="s">
        <v>500</v>
      </c>
      <c r="H115" s="270" t="s">
        <v>134</v>
      </c>
      <c r="I115" s="270"/>
      <c r="J115" s="270" t="s">
        <v>173</v>
      </c>
      <c r="K115" s="111" t="e">
        <f>VLOOKUP(G115,Dataset!F:H,2,0)</f>
        <v>#N/A</v>
      </c>
      <c r="L115" s="279" t="s">
        <v>174</v>
      </c>
      <c r="M115" s="112" t="e">
        <f>VLOOKUP(G115,Dataset!F:H,3,0)</f>
        <v>#N/A</v>
      </c>
      <c r="N115" s="279" t="s">
        <v>134</v>
      </c>
      <c r="O115" s="279"/>
    </row>
    <row r="116" spans="1:16" ht="50.5" thickBot="1">
      <c r="A116" s="179">
        <v>46101.645462962966</v>
      </c>
      <c r="B116" s="180" t="s">
        <v>1487</v>
      </c>
      <c r="C116" s="180" t="s">
        <v>184</v>
      </c>
      <c r="D116" s="180" t="s">
        <v>178</v>
      </c>
      <c r="E116" s="180"/>
      <c r="F116" s="180" t="s">
        <v>1488</v>
      </c>
      <c r="G116" s="180" t="s">
        <v>1489</v>
      </c>
      <c r="H116" s="180" t="s">
        <v>1490</v>
      </c>
      <c r="I116" s="180" t="s">
        <v>1491</v>
      </c>
      <c r="J116" s="180" t="s">
        <v>136</v>
      </c>
      <c r="K116" s="102" t="e">
        <f>VLOOKUP(G116,Dataset!F:H,2,0)</f>
        <v>#N/A</v>
      </c>
      <c r="L116" s="286" t="s">
        <v>93</v>
      </c>
      <c r="M116" s="245"/>
      <c r="N116" s="113"/>
      <c r="O116" s="113"/>
    </row>
    <row r="117" spans="1:16" s="103" customFormat="1" ht="50.5" thickBot="1">
      <c r="A117" s="236">
        <v>46101.645925925928</v>
      </c>
      <c r="B117" s="240" t="s">
        <v>1492</v>
      </c>
      <c r="C117" s="240" t="s">
        <v>1493</v>
      </c>
      <c r="D117" s="240" t="s">
        <v>178</v>
      </c>
      <c r="E117" s="240"/>
      <c r="F117" s="240" t="s">
        <v>1494</v>
      </c>
      <c r="G117" s="240" t="s">
        <v>1495</v>
      </c>
      <c r="H117" s="240" t="s">
        <v>1496</v>
      </c>
      <c r="I117" s="240" t="s">
        <v>135</v>
      </c>
      <c r="J117" s="240" t="s">
        <v>136</v>
      </c>
      <c r="K117" s="102" t="e">
        <f>VLOOKUP(G117,Dataset!F:H,2,0)</f>
        <v>#N/A</v>
      </c>
      <c r="L117" s="245" t="s">
        <v>93</v>
      </c>
      <c r="M117" s="245"/>
      <c r="N117" s="245"/>
      <c r="O117" s="245"/>
      <c r="P117" s="164"/>
    </row>
    <row r="118" spans="1:16" ht="25.5" thickBot="1">
      <c r="A118" s="179">
        <v>46102.801504629628</v>
      </c>
      <c r="B118" s="180" t="s">
        <v>1524</v>
      </c>
      <c r="C118" s="180" t="s">
        <v>1525</v>
      </c>
      <c r="D118" s="180" t="s">
        <v>131</v>
      </c>
      <c r="E118" s="273"/>
      <c r="F118" s="180" t="s">
        <v>1526</v>
      </c>
      <c r="G118" s="180" t="s">
        <v>1527</v>
      </c>
      <c r="H118" s="180" t="s">
        <v>187</v>
      </c>
      <c r="I118" s="180" t="s">
        <v>142</v>
      </c>
      <c r="J118" s="180" t="s">
        <v>143</v>
      </c>
      <c r="K118" s="102" t="e">
        <f>VLOOKUP(G118,Dataset!F:H,2,0)</f>
        <v>#N/A</v>
      </c>
      <c r="L118" s="199" t="s">
        <v>1701</v>
      </c>
      <c r="M118" s="176"/>
    </row>
    <row r="119" spans="1:16" ht="25.5" thickBot="1">
      <c r="A119" s="179">
        <v>46104.558587962965</v>
      </c>
      <c r="B119" s="180" t="s">
        <v>1528</v>
      </c>
      <c r="C119" s="180" t="s">
        <v>1529</v>
      </c>
      <c r="D119" s="180" t="s">
        <v>178</v>
      </c>
      <c r="E119" s="273"/>
      <c r="F119" s="180" t="s">
        <v>1530</v>
      </c>
      <c r="G119" s="180" t="s">
        <v>1531</v>
      </c>
      <c r="H119" s="180" t="s">
        <v>376</v>
      </c>
      <c r="I119" s="180" t="s">
        <v>220</v>
      </c>
      <c r="J119" s="180" t="s">
        <v>158</v>
      </c>
      <c r="K119" s="102" t="e">
        <f>VLOOKUP(G119,Dataset!F:H,2,0)</f>
        <v>#N/A</v>
      </c>
      <c r="L119" s="282" t="s">
        <v>220</v>
      </c>
      <c r="M119" s="176"/>
    </row>
    <row r="120" spans="1:16" ht="25.5" thickBot="1">
      <c r="A120" s="179">
        <v>46104.596898148149</v>
      </c>
      <c r="B120" s="180" t="s">
        <v>326</v>
      </c>
      <c r="C120" s="180" t="s">
        <v>1532</v>
      </c>
      <c r="D120" s="180" t="s">
        <v>178</v>
      </c>
      <c r="E120" s="273"/>
      <c r="F120" s="180" t="s">
        <v>1533</v>
      </c>
      <c r="G120" s="180" t="s">
        <v>1534</v>
      </c>
      <c r="H120" s="180" t="s">
        <v>813</v>
      </c>
      <c r="I120" s="180" t="s">
        <v>220</v>
      </c>
      <c r="J120" s="180" t="s">
        <v>158</v>
      </c>
      <c r="K120" s="102" t="e">
        <f>VLOOKUP(G120,Dataset!F:H,2,0)</f>
        <v>#N/A</v>
      </c>
      <c r="L120" s="282" t="s">
        <v>220</v>
      </c>
      <c r="M120" s="176"/>
    </row>
    <row r="121" spans="1:16" ht="25.5" thickBot="1">
      <c r="A121" s="179">
        <v>46104.695416666669</v>
      </c>
      <c r="B121" s="180" t="s">
        <v>1575</v>
      </c>
      <c r="C121" s="180" t="s">
        <v>1576</v>
      </c>
      <c r="D121" s="180" t="s">
        <v>178</v>
      </c>
      <c r="E121" s="272"/>
      <c r="F121" s="180" t="s">
        <v>1577</v>
      </c>
      <c r="G121" s="180" t="s">
        <v>1578</v>
      </c>
      <c r="H121" s="180" t="s">
        <v>813</v>
      </c>
      <c r="I121" s="180" t="s">
        <v>373</v>
      </c>
      <c r="J121" s="180" t="s">
        <v>223</v>
      </c>
      <c r="K121" s="102" t="e">
        <f>VLOOKUP(G121,Dataset!F:H,2,0)</f>
        <v>#N/A</v>
      </c>
      <c r="L121" s="282" t="s">
        <v>220</v>
      </c>
      <c r="M121" s="245"/>
      <c r="N121" s="113"/>
      <c r="O121" s="113"/>
    </row>
    <row r="122" spans="1:16" ht="25">
      <c r="A122" s="58">
        <v>46080.647048611114</v>
      </c>
      <c r="B122" s="57" t="s">
        <v>188</v>
      </c>
      <c r="C122" s="57" t="s">
        <v>189</v>
      </c>
      <c r="D122" s="57" t="s">
        <v>147</v>
      </c>
      <c r="E122" s="57" t="s">
        <v>190</v>
      </c>
      <c r="F122" s="57" t="s">
        <v>191</v>
      </c>
      <c r="G122" s="57" t="s">
        <v>192</v>
      </c>
      <c r="H122" s="57" t="s">
        <v>193</v>
      </c>
      <c r="I122" s="57"/>
      <c r="J122" s="57" t="s">
        <v>152</v>
      </c>
      <c r="K122" s="100" t="e">
        <f>VLOOKUP(G122,Dataset!F:H,2,0)</f>
        <v>#N/A</v>
      </c>
      <c r="L122" s="100" t="s">
        <v>137</v>
      </c>
      <c r="M122" s="99" t="e">
        <f>VLOOKUP(G122,Dataset!F:H,3,0)</f>
        <v>#N/A</v>
      </c>
      <c r="N122" s="100"/>
      <c r="O122" s="100" t="s">
        <v>2483</v>
      </c>
      <c r="P122" s="285"/>
    </row>
    <row r="123" spans="1:16" s="103" customFormat="1" ht="25.5" thickBot="1">
      <c r="A123" s="104">
        <v>46084.814780092594</v>
      </c>
      <c r="B123" s="105" t="s">
        <v>224</v>
      </c>
      <c r="C123" s="105" t="s">
        <v>225</v>
      </c>
      <c r="D123" s="105" t="s">
        <v>178</v>
      </c>
      <c r="E123" s="105"/>
      <c r="F123" s="105" t="s">
        <v>226</v>
      </c>
      <c r="G123" s="105" t="s">
        <v>227</v>
      </c>
      <c r="H123" s="105" t="s">
        <v>228</v>
      </c>
      <c r="I123" s="105" t="s">
        <v>229</v>
      </c>
      <c r="J123" s="105" t="s">
        <v>136</v>
      </c>
      <c r="K123" s="106" t="str">
        <f>VLOOKUP(G123,Dataset!F:H,2,0)</f>
        <v>IISc Bangalore</v>
      </c>
      <c r="L123" s="106" t="s">
        <v>174</v>
      </c>
      <c r="M123" s="107" t="str">
        <f>VLOOKUP(G123,Dataset!F:H,3,0)</f>
        <v>QuILA</v>
      </c>
      <c r="N123" s="106" t="s">
        <v>230</v>
      </c>
      <c r="O123" s="106"/>
      <c r="P123" s="164"/>
    </row>
    <row r="124" spans="1:16" ht="38" thickBot="1">
      <c r="A124" s="517">
        <v>46085.839814814812</v>
      </c>
      <c r="B124" s="518" t="s">
        <v>303</v>
      </c>
      <c r="C124" s="518" t="s">
        <v>189</v>
      </c>
      <c r="D124" s="518" t="s">
        <v>147</v>
      </c>
      <c r="E124" s="518" t="s">
        <v>304</v>
      </c>
      <c r="F124" s="518" t="s">
        <v>305</v>
      </c>
      <c r="G124" s="518" t="s">
        <v>306</v>
      </c>
      <c r="H124" s="518" t="s">
        <v>307</v>
      </c>
      <c r="I124" s="518"/>
      <c r="J124" s="518" t="s">
        <v>308</v>
      </c>
      <c r="K124" s="100" t="e">
        <f>VLOOKUP(G124,Dataset!F:H,2,0)</f>
        <v>#N/A</v>
      </c>
      <c r="L124" s="19" t="s">
        <v>209</v>
      </c>
      <c r="M124" s="99" t="e">
        <f>VLOOKUP(G124,Dataset!F:H,3,0)</f>
        <v>#N/A</v>
      </c>
      <c r="N124" s="19"/>
      <c r="O124" s="19" t="s">
        <v>2484</v>
      </c>
    </row>
    <row r="125" spans="1:16" s="108" customFormat="1" ht="38" thickBot="1">
      <c r="A125" s="269">
        <v>46085.872476851851</v>
      </c>
      <c r="B125" s="271" t="s">
        <v>309</v>
      </c>
      <c r="C125" s="271" t="s">
        <v>310</v>
      </c>
      <c r="D125" s="271" t="s">
        <v>311</v>
      </c>
      <c r="E125" s="271"/>
      <c r="F125" s="271" t="s">
        <v>312</v>
      </c>
      <c r="G125" s="271" t="s">
        <v>313</v>
      </c>
      <c r="H125" s="271" t="s">
        <v>314</v>
      </c>
      <c r="I125" s="271" t="s">
        <v>315</v>
      </c>
      <c r="J125" s="271" t="s">
        <v>182</v>
      </c>
      <c r="K125" s="106" t="e">
        <f>VLOOKUP(G125,Dataset!F:H,2,0)</f>
        <v>#N/A</v>
      </c>
      <c r="L125" s="283" t="s">
        <v>209</v>
      </c>
      <c r="M125" s="107" t="e">
        <f>VLOOKUP(G125,Dataset!F:H,3,0)</f>
        <v>#N/A</v>
      </c>
      <c r="N125" s="283"/>
      <c r="O125" s="283"/>
      <c r="P125" s="122"/>
    </row>
    <row r="126" spans="1:16" ht="25.5" thickBot="1">
      <c r="A126" s="517">
        <v>46086.324212962965</v>
      </c>
      <c r="B126" s="518" t="s">
        <v>331</v>
      </c>
      <c r="C126" s="518" t="s">
        <v>212</v>
      </c>
      <c r="D126" s="518" t="s">
        <v>147</v>
      </c>
      <c r="E126" s="518" t="s">
        <v>299</v>
      </c>
      <c r="F126" s="518" t="s">
        <v>332</v>
      </c>
      <c r="G126" s="518" t="s">
        <v>333</v>
      </c>
      <c r="H126" s="518" t="s">
        <v>334</v>
      </c>
      <c r="I126" s="518"/>
      <c r="J126" s="518" t="s">
        <v>182</v>
      </c>
      <c r="K126" s="100" t="e">
        <f>VLOOKUP(G126,Dataset!F:H,2,0)</f>
        <v>#N/A</v>
      </c>
      <c r="L126" s="19" t="s">
        <v>209</v>
      </c>
      <c r="M126" s="99" t="e">
        <f>VLOOKUP(G126,Dataset!F:H,3,0)</f>
        <v>#N/A</v>
      </c>
      <c r="N126" s="19"/>
      <c r="O126" s="19" t="s">
        <v>2484</v>
      </c>
    </row>
    <row r="127" spans="1:16" ht="25.5" thickBot="1">
      <c r="A127" s="517">
        <v>46086.388877314814</v>
      </c>
      <c r="B127" s="518" t="s">
        <v>335</v>
      </c>
      <c r="C127" s="518" t="s">
        <v>336</v>
      </c>
      <c r="D127" s="518" t="s">
        <v>147</v>
      </c>
      <c r="E127" s="518" t="s">
        <v>337</v>
      </c>
      <c r="F127" s="518" t="s">
        <v>338</v>
      </c>
      <c r="G127" s="518" t="s">
        <v>339</v>
      </c>
      <c r="H127" s="518" t="s">
        <v>340</v>
      </c>
      <c r="I127" s="518"/>
      <c r="J127" s="518" t="s">
        <v>182</v>
      </c>
      <c r="K127" s="100" t="e">
        <f>VLOOKUP(G127,Dataset!F:H,2,0)</f>
        <v>#N/A</v>
      </c>
      <c r="L127" s="521" t="s">
        <v>209</v>
      </c>
      <c r="M127" s="99" t="e">
        <f>VLOOKUP(G127,Dataset!F:H,3,0)</f>
        <v>#N/A</v>
      </c>
      <c r="N127" s="19"/>
      <c r="O127" s="19" t="s">
        <v>2484</v>
      </c>
    </row>
    <row r="128" spans="1:16" ht="25.5" thickBot="1">
      <c r="A128" s="517">
        <v>46086.508414351854</v>
      </c>
      <c r="B128" s="518" t="s">
        <v>341</v>
      </c>
      <c r="C128" s="518" t="s">
        <v>342</v>
      </c>
      <c r="D128" s="518" t="s">
        <v>147</v>
      </c>
      <c r="E128" s="518" t="s">
        <v>190</v>
      </c>
      <c r="F128" s="518" t="s">
        <v>343</v>
      </c>
      <c r="G128" s="518" t="s">
        <v>344</v>
      </c>
      <c r="H128" s="518" t="s">
        <v>345</v>
      </c>
      <c r="I128" s="518"/>
      <c r="J128" s="518" t="s">
        <v>152</v>
      </c>
      <c r="K128" s="100" t="e">
        <f>VLOOKUP(G128,Dataset!F:H,2,0)</f>
        <v>#N/A</v>
      </c>
      <c r="L128" s="19" t="s">
        <v>137</v>
      </c>
      <c r="M128" s="99" t="e">
        <f>VLOOKUP(G128,Dataset!F:H,3,0)</f>
        <v>#N/A</v>
      </c>
      <c r="N128" s="19"/>
      <c r="O128" s="100" t="s">
        <v>2483</v>
      </c>
      <c r="P128" s="59"/>
    </row>
    <row r="129" spans="1:16" ht="38" thickBot="1">
      <c r="A129" s="517">
        <v>46086.648587962962</v>
      </c>
      <c r="B129" s="518" t="s">
        <v>346</v>
      </c>
      <c r="C129" s="518" t="s">
        <v>347</v>
      </c>
      <c r="D129" s="518" t="s">
        <v>147</v>
      </c>
      <c r="E129" s="518" t="s">
        <v>348</v>
      </c>
      <c r="F129" s="518" t="s">
        <v>349</v>
      </c>
      <c r="G129" s="518" t="s">
        <v>350</v>
      </c>
      <c r="H129" s="518" t="s">
        <v>351</v>
      </c>
      <c r="I129" s="518"/>
      <c r="J129" s="518" t="s">
        <v>251</v>
      </c>
      <c r="K129" s="100" t="e">
        <f>VLOOKUP(G129,Dataset!F:H,2,0)</f>
        <v>#N/A</v>
      </c>
      <c r="L129" s="19" t="s">
        <v>144</v>
      </c>
      <c r="M129" s="99" t="e">
        <f>VLOOKUP(G129,Dataset!F:H,3,0)</f>
        <v>#N/A</v>
      </c>
      <c r="N129" s="19"/>
      <c r="O129" s="19" t="s">
        <v>2485</v>
      </c>
    </row>
    <row r="130" spans="1:16" ht="25">
      <c r="A130" s="58">
        <v>46086.649027777778</v>
      </c>
      <c r="B130" s="57" t="s">
        <v>352</v>
      </c>
      <c r="C130" s="57" t="s">
        <v>353</v>
      </c>
      <c r="D130" s="57" t="s">
        <v>147</v>
      </c>
      <c r="E130" s="57" t="s">
        <v>337</v>
      </c>
      <c r="F130" s="57" t="s">
        <v>354</v>
      </c>
      <c r="G130" s="57" t="s">
        <v>355</v>
      </c>
      <c r="H130" s="57" t="s">
        <v>356</v>
      </c>
      <c r="I130" s="57"/>
      <c r="J130" s="57" t="s">
        <v>182</v>
      </c>
      <c r="K130" s="100" t="e">
        <f>VLOOKUP(G130,Dataset!F:H,2,0)</f>
        <v>#N/A</v>
      </c>
      <c r="L130" s="100" t="s">
        <v>357</v>
      </c>
      <c r="M130" s="99" t="e">
        <f>VLOOKUP(G130,Dataset!F:H,3,0)</f>
        <v>#N/A</v>
      </c>
      <c r="N130" s="100"/>
      <c r="O130" s="19" t="s">
        <v>2484</v>
      </c>
      <c r="P130" s="176"/>
    </row>
    <row r="131" spans="1:16" s="108" customFormat="1" ht="13" thickBot="1">
      <c r="A131" s="104">
        <v>46086.787407407406</v>
      </c>
      <c r="B131" s="105" t="s">
        <v>365</v>
      </c>
      <c r="C131" s="105" t="s">
        <v>366</v>
      </c>
      <c r="D131" s="105" t="s">
        <v>131</v>
      </c>
      <c r="E131" s="105"/>
      <c r="F131" s="105" t="s">
        <v>367</v>
      </c>
      <c r="G131" s="105" t="s">
        <v>368</v>
      </c>
      <c r="H131" s="105" t="s">
        <v>369</v>
      </c>
      <c r="I131" s="105" t="s">
        <v>370</v>
      </c>
      <c r="J131" s="105" t="s">
        <v>201</v>
      </c>
      <c r="K131" s="106" t="e">
        <f>VLOOKUP(G131,Dataset!F:H,2,0)</f>
        <v>#N/A</v>
      </c>
      <c r="L131" s="106"/>
      <c r="M131" s="107" t="e">
        <f>VLOOKUP(G131,Dataset!F:H,3,0)</f>
        <v>#N/A</v>
      </c>
      <c r="N131" s="106"/>
      <c r="O131" s="106"/>
      <c r="P131" s="248"/>
    </row>
    <row r="132" spans="1:16" ht="88" thickBot="1">
      <c r="A132" s="269">
        <v>46091.381932870368</v>
      </c>
      <c r="B132" s="460" t="s">
        <v>391</v>
      </c>
      <c r="C132" s="271" t="s">
        <v>212</v>
      </c>
      <c r="D132" s="271" t="s">
        <v>147</v>
      </c>
      <c r="E132" s="271" t="s">
        <v>431</v>
      </c>
      <c r="F132" s="271" t="s">
        <v>432</v>
      </c>
      <c r="G132" s="271" t="s">
        <v>433</v>
      </c>
      <c r="H132" s="271" t="s">
        <v>164</v>
      </c>
      <c r="I132" s="271"/>
      <c r="J132" s="271" t="s">
        <v>434</v>
      </c>
      <c r="K132" s="106" t="e">
        <f>VLOOKUP(G132,Dataset!F:H,2,0)</f>
        <v>#N/A</v>
      </c>
      <c r="L132" s="283" t="s">
        <v>209</v>
      </c>
      <c r="M132" s="107" t="e">
        <f>VLOOKUP(G132,Dataset!F:H,3,0)</f>
        <v>#N/A</v>
      </c>
      <c r="N132" s="157" t="s">
        <v>302</v>
      </c>
      <c r="O132" s="157" t="s">
        <v>743</v>
      </c>
    </row>
    <row r="133" spans="1:16" ht="25.5" thickBot="1">
      <c r="A133" s="517">
        <v>46091.429560185185</v>
      </c>
      <c r="B133" s="518" t="s">
        <v>462</v>
      </c>
      <c r="C133" s="518" t="s">
        <v>463</v>
      </c>
      <c r="D133" s="518" t="s">
        <v>401</v>
      </c>
      <c r="E133" s="518"/>
      <c r="F133" s="518" t="s">
        <v>464</v>
      </c>
      <c r="G133" s="518" t="s">
        <v>465</v>
      </c>
      <c r="H133" s="518" t="s">
        <v>466</v>
      </c>
      <c r="I133" s="518" t="s">
        <v>467</v>
      </c>
      <c r="J133" s="518" t="s">
        <v>325</v>
      </c>
      <c r="K133" s="100" t="e">
        <f>VLOOKUP(G133,Dataset!F:H,2,0)</f>
        <v>#N/A</v>
      </c>
      <c r="L133" s="19" t="s">
        <v>144</v>
      </c>
      <c r="M133" s="99" t="e">
        <f>VLOOKUP(G133,Dataset!F:H,3,0)</f>
        <v>#N/A</v>
      </c>
      <c r="O133" s="19" t="s">
        <v>2486</v>
      </c>
    </row>
    <row r="134" spans="1:16" ht="25.5" thickBot="1">
      <c r="A134" s="517">
        <v>46091.435150462959</v>
      </c>
      <c r="B134" s="518" t="s">
        <v>468</v>
      </c>
      <c r="C134" s="518" t="s">
        <v>469</v>
      </c>
      <c r="D134" s="518" t="s">
        <v>401</v>
      </c>
      <c r="E134" s="518"/>
      <c r="F134" s="518" t="s">
        <v>470</v>
      </c>
      <c r="G134" s="518" t="s">
        <v>471</v>
      </c>
      <c r="H134" s="518" t="s">
        <v>472</v>
      </c>
      <c r="I134" s="518" t="s">
        <v>467</v>
      </c>
      <c r="J134" s="518" t="s">
        <v>325</v>
      </c>
      <c r="K134" s="100" t="e">
        <f>VLOOKUP(G134,Dataset!F:H,2,0)</f>
        <v>#N/A</v>
      </c>
      <c r="L134" s="521" t="s">
        <v>144</v>
      </c>
      <c r="M134" s="99" t="e">
        <f>VLOOKUP(G134,Dataset!F:H,3,0)</f>
        <v>#N/A</v>
      </c>
      <c r="N134" s="19"/>
      <c r="O134" s="19" t="s">
        <v>2486</v>
      </c>
    </row>
    <row r="135" spans="1:16" ht="25.5" thickBot="1">
      <c r="A135" s="517">
        <v>46091.458784722221</v>
      </c>
      <c r="B135" s="518" t="s">
        <v>487</v>
      </c>
      <c r="C135" s="518" t="s">
        <v>488</v>
      </c>
      <c r="D135" s="518" t="s">
        <v>147</v>
      </c>
      <c r="E135" s="518" t="s">
        <v>467</v>
      </c>
      <c r="F135" s="518" t="s">
        <v>489</v>
      </c>
      <c r="G135" s="518" t="s">
        <v>490</v>
      </c>
      <c r="H135" s="518" t="s">
        <v>491</v>
      </c>
      <c r="I135" s="518"/>
      <c r="J135" s="518" t="s">
        <v>325</v>
      </c>
      <c r="K135" s="100" t="e">
        <f>VLOOKUP(G135,Dataset!F:H,2,0)</f>
        <v>#N/A</v>
      </c>
      <c r="L135" s="521" t="s">
        <v>144</v>
      </c>
      <c r="M135" s="99" t="e">
        <f>VLOOKUP(G135,Dataset!F:H,3,0)</f>
        <v>#N/A</v>
      </c>
      <c r="N135" s="19"/>
      <c r="O135" s="19" t="s">
        <v>2486</v>
      </c>
    </row>
    <row r="136" spans="1:16" ht="25.5" thickBot="1">
      <c r="A136" s="269">
        <v>46091.633553240739</v>
      </c>
      <c r="B136" s="271" t="s">
        <v>507</v>
      </c>
      <c r="C136" s="271" t="s">
        <v>359</v>
      </c>
      <c r="D136" s="271" t="s">
        <v>147</v>
      </c>
      <c r="E136" s="271" t="s">
        <v>360</v>
      </c>
      <c r="F136" s="271" t="s">
        <v>361</v>
      </c>
      <c r="G136" s="271" t="s">
        <v>362</v>
      </c>
      <c r="H136" s="271" t="s">
        <v>151</v>
      </c>
      <c r="I136" s="271"/>
      <c r="J136" s="271" t="s">
        <v>363</v>
      </c>
      <c r="K136" s="106" t="str">
        <f>VLOOKUP(G136,Dataset!F:H,2,0)</f>
        <v>IIT Madras</v>
      </c>
      <c r="L136" s="283" t="s">
        <v>137</v>
      </c>
      <c r="M136" s="107" t="str">
        <f>VLOOKUP(G136,Dataset!F:H,3,0)</f>
        <v>TAHQEECAT</v>
      </c>
      <c r="N136" s="283" t="s">
        <v>364</v>
      </c>
      <c r="O136" s="283"/>
    </row>
    <row r="137" spans="1:16" ht="25.5" thickBot="1">
      <c r="A137" s="269">
        <v>46091.643854166665</v>
      </c>
      <c r="B137" s="271" t="s">
        <v>257</v>
      </c>
      <c r="C137" s="271" t="s">
        <v>258</v>
      </c>
      <c r="D137" s="271" t="s">
        <v>147</v>
      </c>
      <c r="E137" s="271" t="s">
        <v>259</v>
      </c>
      <c r="F137" s="271" t="s">
        <v>260</v>
      </c>
      <c r="G137" s="271" t="s">
        <v>261</v>
      </c>
      <c r="H137" s="271" t="s">
        <v>262</v>
      </c>
      <c r="I137" s="271"/>
      <c r="J137" s="271" t="s">
        <v>263</v>
      </c>
      <c r="K137" s="106" t="str">
        <f>VLOOKUP(G137,Dataset!F:H,2,0)</f>
        <v>IIT Bombay</v>
      </c>
      <c r="L137" s="283" t="str">
        <f>K137</f>
        <v>IIT Bombay</v>
      </c>
      <c r="M137" s="107" t="str">
        <f>VLOOKUP(G137,Dataset!F:H,3,0)</f>
        <v>TG 3 Kasturi Saha</v>
      </c>
      <c r="N137" s="283" t="str">
        <f>M137</f>
        <v>TG 3 Kasturi Saha</v>
      </c>
      <c r="O137" s="283"/>
    </row>
    <row r="138" spans="1:16" ht="38" thickBot="1">
      <c r="A138" s="517">
        <v>46091.781840277778</v>
      </c>
      <c r="B138" s="518" t="s">
        <v>530</v>
      </c>
      <c r="C138" s="518" t="s">
        <v>531</v>
      </c>
      <c r="D138" s="518" t="s">
        <v>401</v>
      </c>
      <c r="E138" s="518"/>
      <c r="F138" s="518" t="s">
        <v>532</v>
      </c>
      <c r="G138" s="518" t="s">
        <v>533</v>
      </c>
      <c r="H138" s="518" t="s">
        <v>534</v>
      </c>
      <c r="I138" s="518" t="s">
        <v>535</v>
      </c>
      <c r="J138" s="518" t="s">
        <v>143</v>
      </c>
      <c r="K138" s="100" t="e">
        <f>VLOOKUP(G138,Dataset!F:H,2,0)</f>
        <v>#N/A</v>
      </c>
      <c r="L138" s="19" t="s">
        <v>144</v>
      </c>
      <c r="M138" s="99" t="e">
        <f>VLOOKUP(G138,Dataset!F:H,3,0)</f>
        <v>#N/A</v>
      </c>
      <c r="N138" s="19"/>
      <c r="O138" s="19" t="s">
        <v>2487</v>
      </c>
    </row>
    <row r="139" spans="1:16" s="108" customFormat="1" ht="25.5" thickBot="1">
      <c r="A139" s="269">
        <v>46091.954583333332</v>
      </c>
      <c r="B139" s="271" t="s">
        <v>548</v>
      </c>
      <c r="C139" s="271" t="s">
        <v>549</v>
      </c>
      <c r="D139" s="271" t="s">
        <v>401</v>
      </c>
      <c r="E139" s="271"/>
      <c r="F139" s="271" t="s">
        <v>550</v>
      </c>
      <c r="G139" s="271" t="s">
        <v>551</v>
      </c>
      <c r="H139" s="271" t="s">
        <v>552</v>
      </c>
      <c r="I139" s="271" t="s">
        <v>209</v>
      </c>
      <c r="J139" s="271" t="s">
        <v>223</v>
      </c>
      <c r="K139" s="106" t="e">
        <f>VLOOKUP(G139,Dataset!F:H,2,0)</f>
        <v>#N/A</v>
      </c>
      <c r="M139" s="107" t="e">
        <f>VLOOKUP(G139,Dataset!F:H,3,0)</f>
        <v>#N/A</v>
      </c>
      <c r="N139" s="283"/>
      <c r="O139" s="281" t="s">
        <v>1479</v>
      </c>
    </row>
    <row r="140" spans="1:16" ht="38" thickBot="1">
      <c r="A140" s="517">
        <v>46091.965081018519</v>
      </c>
      <c r="B140" s="518" t="s">
        <v>481</v>
      </c>
      <c r="C140" s="518" t="s">
        <v>553</v>
      </c>
      <c r="D140" s="518" t="s">
        <v>401</v>
      </c>
      <c r="E140" s="518"/>
      <c r="F140" s="518" t="s">
        <v>554</v>
      </c>
      <c r="G140" s="518" t="s">
        <v>555</v>
      </c>
      <c r="H140" s="518" t="s">
        <v>556</v>
      </c>
      <c r="I140" s="518" t="s">
        <v>557</v>
      </c>
      <c r="J140" s="518" t="s">
        <v>143</v>
      </c>
      <c r="K140" s="100" t="e">
        <f>VLOOKUP(G140,Dataset!F:H,2,0)</f>
        <v>#N/A</v>
      </c>
      <c r="L140" s="521" t="s">
        <v>144</v>
      </c>
      <c r="M140" s="99" t="e">
        <f>VLOOKUP(G140,Dataset!F:H,3,0)</f>
        <v>#N/A</v>
      </c>
      <c r="N140" s="19"/>
      <c r="O140" s="19" t="s">
        <v>2487</v>
      </c>
    </row>
    <row r="141" spans="1:16" ht="37.5">
      <c r="A141" s="58">
        <v>46091.966365740744</v>
      </c>
      <c r="B141" s="57" t="s">
        <v>558</v>
      </c>
      <c r="C141" s="57" t="s">
        <v>559</v>
      </c>
      <c r="D141" s="57" t="s">
        <v>401</v>
      </c>
      <c r="E141" s="57"/>
      <c r="F141" s="57" t="s">
        <v>560</v>
      </c>
      <c r="G141" s="57" t="s">
        <v>561</v>
      </c>
      <c r="H141" s="57" t="s">
        <v>556</v>
      </c>
      <c r="I141" s="57" t="s">
        <v>557</v>
      </c>
      <c r="J141" s="57" t="s">
        <v>143</v>
      </c>
      <c r="K141" s="100" t="e">
        <f>VLOOKUP(G141,Dataset!F:H,2,0)</f>
        <v>#N/A</v>
      </c>
      <c r="L141" s="100" t="s">
        <v>562</v>
      </c>
      <c r="M141" s="99" t="e">
        <f>VLOOKUP(G141,Dataset!F:H,3,0)</f>
        <v>#N/A</v>
      </c>
      <c r="N141" s="100"/>
      <c r="O141" s="19" t="s">
        <v>2487</v>
      </c>
      <c r="P141" s="176"/>
    </row>
    <row r="142" spans="1:16" s="103" customFormat="1" ht="25.5" thickBot="1">
      <c r="A142" s="104">
        <v>46092.354004629633</v>
      </c>
      <c r="B142" s="105" t="s">
        <v>568</v>
      </c>
      <c r="C142" s="105" t="s">
        <v>160</v>
      </c>
      <c r="D142" s="105" t="s">
        <v>147</v>
      </c>
      <c r="E142" s="105" t="s">
        <v>569</v>
      </c>
      <c r="F142" s="105" t="s">
        <v>570</v>
      </c>
      <c r="G142" s="105" t="s">
        <v>571</v>
      </c>
      <c r="H142" s="105" t="s">
        <v>164</v>
      </c>
      <c r="I142" s="105"/>
      <c r="J142" s="105" t="s">
        <v>143</v>
      </c>
      <c r="K142" s="106" t="str">
        <f>VLOOKUP(G142,Dataset!F:H,2,0)</f>
        <v>IISc Bangalore</v>
      </c>
      <c r="L142" s="106"/>
      <c r="M142" s="107" t="str">
        <f>VLOOKUP(G142,Dataset!F:H,3,0)</f>
        <v>TG 5 Quantum computers with Superconducting Qubits</v>
      </c>
      <c r="N142" s="106"/>
      <c r="O142" s="106"/>
      <c r="P142" s="164"/>
    </row>
    <row r="143" spans="1:16" ht="25.5" thickBot="1">
      <c r="A143" s="269">
        <v>46092.355358796296</v>
      </c>
      <c r="B143" s="271" t="s">
        <v>568</v>
      </c>
      <c r="C143" s="271" t="s">
        <v>160</v>
      </c>
      <c r="D143" s="271" t="s">
        <v>147</v>
      </c>
      <c r="E143" s="271" t="s">
        <v>569</v>
      </c>
      <c r="F143" s="271" t="s">
        <v>570</v>
      </c>
      <c r="G143" s="271" t="s">
        <v>571</v>
      </c>
      <c r="H143" s="271" t="s">
        <v>164</v>
      </c>
      <c r="I143" s="271"/>
      <c r="J143" s="271" t="s">
        <v>143</v>
      </c>
      <c r="K143" s="106" t="str">
        <f>VLOOKUP(G143,Dataset!F:H,2,0)</f>
        <v>IISc Bangalore</v>
      </c>
      <c r="L143" s="281"/>
      <c r="M143" s="107" t="str">
        <f>VLOOKUP(G143,Dataset!F:H,3,0)</f>
        <v>TG 5 Quantum computers with Superconducting Qubits</v>
      </c>
      <c r="N143" s="283"/>
      <c r="O143" s="283"/>
    </row>
    <row r="144" spans="1:16" ht="38" thickBot="1">
      <c r="A144" s="517">
        <v>46092.494791666664</v>
      </c>
      <c r="B144" s="518" t="s">
        <v>586</v>
      </c>
      <c r="C144" s="518" t="s">
        <v>587</v>
      </c>
      <c r="D144" s="518" t="s">
        <v>178</v>
      </c>
      <c r="E144" s="518"/>
      <c r="F144" s="518" t="s">
        <v>588</v>
      </c>
      <c r="G144" s="518" t="s">
        <v>589</v>
      </c>
      <c r="H144" s="518" t="s">
        <v>590</v>
      </c>
      <c r="I144" s="518" t="s">
        <v>591</v>
      </c>
      <c r="J144" s="518" t="s">
        <v>173</v>
      </c>
      <c r="K144" s="100" t="e">
        <f>VLOOKUP(G144,Dataset!F:H,2,0)</f>
        <v>#N/A</v>
      </c>
      <c r="L144" s="19" t="s">
        <v>174</v>
      </c>
      <c r="M144" s="99" t="e">
        <f>VLOOKUP(G144,Dataset!F:H,3,0)</f>
        <v>#N/A</v>
      </c>
      <c r="N144" s="19"/>
      <c r="O144" s="19" t="s">
        <v>2488</v>
      </c>
    </row>
    <row r="145" spans="1:16" ht="25.5" thickBot="1">
      <c r="A145" s="269">
        <v>46092.497199074074</v>
      </c>
      <c r="B145" s="271" t="s">
        <v>592</v>
      </c>
      <c r="C145" s="271" t="s">
        <v>587</v>
      </c>
      <c r="D145" s="271" t="s">
        <v>178</v>
      </c>
      <c r="E145" s="271"/>
      <c r="F145" s="271" t="s">
        <v>588</v>
      </c>
      <c r="G145" s="271" t="s">
        <v>589</v>
      </c>
      <c r="H145" s="271" t="s">
        <v>590</v>
      </c>
      <c r="I145" s="271" t="s">
        <v>585</v>
      </c>
      <c r="J145" s="271" t="s">
        <v>173</v>
      </c>
      <c r="K145" s="106" t="e">
        <f>VLOOKUP(G145,Dataset!F:H,2,0)</f>
        <v>#N/A</v>
      </c>
      <c r="L145" s="283"/>
      <c r="M145" s="107" t="e">
        <f>VLOOKUP(G145,Dataset!F:H,3,0)</f>
        <v>#N/A</v>
      </c>
      <c r="N145" s="283"/>
      <c r="O145" s="283"/>
    </row>
    <row r="146" spans="1:16" ht="38" thickBot="1">
      <c r="A146" s="58">
        <v>46092.634166666663</v>
      </c>
      <c r="B146" s="57" t="s">
        <v>599</v>
      </c>
      <c r="C146" s="57" t="s">
        <v>600</v>
      </c>
      <c r="D146" s="57" t="s">
        <v>178</v>
      </c>
      <c r="E146" s="57"/>
      <c r="F146" s="57" t="s">
        <v>601</v>
      </c>
      <c r="G146" s="57" t="s">
        <v>602</v>
      </c>
      <c r="H146" s="57" t="s">
        <v>603</v>
      </c>
      <c r="I146" s="57" t="s">
        <v>604</v>
      </c>
      <c r="J146" s="57" t="s">
        <v>136</v>
      </c>
      <c r="K146" s="100" t="e">
        <f>VLOOKUP(G146,Dataset!F:H,2,0)</f>
        <v>#N/A</v>
      </c>
      <c r="L146" s="100" t="s">
        <v>174</v>
      </c>
      <c r="M146" s="99" t="e">
        <f>VLOOKUP(G146,Dataset!F:H,3,0)</f>
        <v>#N/A</v>
      </c>
      <c r="N146" s="100"/>
      <c r="O146" s="100" t="s">
        <v>2489</v>
      </c>
      <c r="P146" s="176"/>
    </row>
    <row r="147" spans="1:16" ht="38" thickBot="1">
      <c r="A147" s="269">
        <v>46093.530960648146</v>
      </c>
      <c r="B147" s="271" t="s">
        <v>224</v>
      </c>
      <c r="C147" s="271" t="s">
        <v>225</v>
      </c>
      <c r="D147" s="271" t="s">
        <v>147</v>
      </c>
      <c r="E147" s="271" t="s">
        <v>621</v>
      </c>
      <c r="F147" s="271" t="s">
        <v>231</v>
      </c>
      <c r="G147" s="271" t="s">
        <v>227</v>
      </c>
      <c r="H147" s="271" t="s">
        <v>228</v>
      </c>
      <c r="I147" s="271"/>
      <c r="J147" s="271" t="s">
        <v>136</v>
      </c>
      <c r="K147" s="106" t="str">
        <f>VLOOKUP(G147,Dataset!F:H,2,0)</f>
        <v>IISc Bangalore</v>
      </c>
      <c r="L147" s="283" t="str">
        <f>K147</f>
        <v>IISc Bangalore</v>
      </c>
      <c r="M147" s="107" t="str">
        <f>VLOOKUP(G147,Dataset!F:H,3,0)</f>
        <v>QuILA</v>
      </c>
      <c r="N147" s="283" t="str">
        <f>M147</f>
        <v>QuILA</v>
      </c>
      <c r="O147" s="283"/>
    </row>
    <row r="148" spans="1:16" ht="38" thickBot="1">
      <c r="A148" s="58">
        <v>46093.53361111111</v>
      </c>
      <c r="B148" s="57" t="s">
        <v>622</v>
      </c>
      <c r="C148" s="57" t="s">
        <v>623</v>
      </c>
      <c r="D148" s="57" t="s">
        <v>147</v>
      </c>
      <c r="E148" s="57" t="s">
        <v>624</v>
      </c>
      <c r="F148" s="57" t="s">
        <v>625</v>
      </c>
      <c r="G148" s="57" t="s">
        <v>626</v>
      </c>
      <c r="H148" s="57" t="s">
        <v>627</v>
      </c>
      <c r="I148" s="57"/>
      <c r="J148" s="57" t="s">
        <v>136</v>
      </c>
      <c r="K148" s="100" t="e">
        <f>VLOOKUP(G148,Dataset!F:H,2,0)</f>
        <v>#N/A</v>
      </c>
      <c r="L148" s="100" t="s">
        <v>403</v>
      </c>
      <c r="M148" s="99" t="e">
        <f>VLOOKUP(G148,Dataset!F:H,3,0)</f>
        <v>#N/A</v>
      </c>
      <c r="N148" s="100"/>
      <c r="O148" s="100" t="s">
        <v>1752</v>
      </c>
      <c r="P148" s="176"/>
    </row>
    <row r="149" spans="1:16" ht="25.5" thickBot="1">
      <c r="A149" s="269">
        <v>46093.536145833335</v>
      </c>
      <c r="B149" s="271" t="s">
        <v>599</v>
      </c>
      <c r="C149" s="271" t="s">
        <v>600</v>
      </c>
      <c r="D149" s="271" t="s">
        <v>147</v>
      </c>
      <c r="E149" s="271" t="s">
        <v>629</v>
      </c>
      <c r="F149" s="271" t="s">
        <v>601</v>
      </c>
      <c r="G149" s="271" t="s">
        <v>602</v>
      </c>
      <c r="H149" s="271" t="s">
        <v>630</v>
      </c>
      <c r="I149" s="271"/>
      <c r="J149" s="271" t="s">
        <v>136</v>
      </c>
      <c r="K149" s="106" t="e">
        <f>VLOOKUP(G149,Dataset!F:H,2,0)</f>
        <v>#N/A</v>
      </c>
      <c r="L149" s="283"/>
      <c r="M149" s="107" t="e">
        <f>VLOOKUP(G149,Dataset!F:H,3,0)</f>
        <v>#N/A</v>
      </c>
      <c r="N149" s="283"/>
      <c r="O149" s="283"/>
    </row>
    <row r="150" spans="1:16" ht="25.5" thickBot="1">
      <c r="A150" s="517">
        <v>46093.735717592594</v>
      </c>
      <c r="B150" s="518" t="s">
        <v>654</v>
      </c>
      <c r="C150" s="518" t="s">
        <v>655</v>
      </c>
      <c r="D150" s="518" t="s">
        <v>147</v>
      </c>
      <c r="E150" s="518" t="s">
        <v>656</v>
      </c>
      <c r="F150" s="518" t="s">
        <v>657</v>
      </c>
      <c r="G150" s="518" t="s">
        <v>658</v>
      </c>
      <c r="H150" s="518" t="s">
        <v>659</v>
      </c>
      <c r="I150" s="518"/>
      <c r="J150" s="518" t="s">
        <v>143</v>
      </c>
      <c r="K150" s="100" t="e">
        <f>VLOOKUP(G150,Dataset!F:H,2,0)</f>
        <v>#N/A</v>
      </c>
      <c r="L150" s="521" t="s">
        <v>144</v>
      </c>
      <c r="M150" s="99" t="e">
        <f>VLOOKUP(G150,Dataset!F:H,3,0)</f>
        <v>#N/A</v>
      </c>
      <c r="N150" s="19"/>
      <c r="O150" s="19" t="s">
        <v>2490</v>
      </c>
    </row>
    <row r="151" spans="1:16" ht="25.5" thickBot="1">
      <c r="A151" s="517">
        <v>46093.752928240741</v>
      </c>
      <c r="B151" s="518" t="s">
        <v>660</v>
      </c>
      <c r="C151" s="518" t="s">
        <v>661</v>
      </c>
      <c r="D151" s="518" t="s">
        <v>147</v>
      </c>
      <c r="E151" s="518" t="s">
        <v>656</v>
      </c>
      <c r="F151" s="518" t="s">
        <v>662</v>
      </c>
      <c r="G151" s="518" t="s">
        <v>663</v>
      </c>
      <c r="H151" s="518" t="s">
        <v>664</v>
      </c>
      <c r="I151" s="518"/>
      <c r="J151" s="518" t="s">
        <v>143</v>
      </c>
      <c r="K151" s="100" t="e">
        <f>VLOOKUP(G151,Dataset!F:H,2,0)</f>
        <v>#N/A</v>
      </c>
      <c r="L151" s="521" t="s">
        <v>144</v>
      </c>
      <c r="M151" s="99" t="e">
        <f>VLOOKUP(G151,Dataset!F:H,3,0)</f>
        <v>#N/A</v>
      </c>
      <c r="N151" s="19"/>
      <c r="O151" s="19" t="s">
        <v>2490</v>
      </c>
    </row>
    <row r="152" spans="1:16" ht="25">
      <c r="A152" s="58">
        <v>46093.89707175926</v>
      </c>
      <c r="B152" s="57" t="s">
        <v>665</v>
      </c>
      <c r="C152" s="57" t="s">
        <v>666</v>
      </c>
      <c r="D152" s="57" t="s">
        <v>401</v>
      </c>
      <c r="E152" s="57"/>
      <c r="F152" s="57" t="s">
        <v>667</v>
      </c>
      <c r="G152" s="57" t="s">
        <v>668</v>
      </c>
      <c r="H152" s="57" t="s">
        <v>556</v>
      </c>
      <c r="I152" s="57" t="s">
        <v>669</v>
      </c>
      <c r="J152" s="57" t="s">
        <v>251</v>
      </c>
      <c r="K152" s="100" t="e">
        <f>VLOOKUP(G152,Dataset!F:H,2,0)</f>
        <v>#N/A</v>
      </c>
      <c r="L152" s="100" t="s">
        <v>562</v>
      </c>
      <c r="M152" s="99" t="e">
        <f>VLOOKUP(G152,Dataset!F:H,3,0)</f>
        <v>#N/A</v>
      </c>
      <c r="N152" s="100"/>
      <c r="O152" s="100" t="s">
        <v>2491</v>
      </c>
      <c r="P152" s="176"/>
    </row>
    <row r="153" spans="1:16" s="103" customFormat="1" ht="25">
      <c r="A153" s="238">
        <v>46094.77925925926</v>
      </c>
      <c r="B153" s="241" t="s">
        <v>676</v>
      </c>
      <c r="C153" s="241" t="s">
        <v>240</v>
      </c>
      <c r="D153" s="241" t="s">
        <v>147</v>
      </c>
      <c r="E153" s="241" t="s">
        <v>677</v>
      </c>
      <c r="F153" s="241" t="s">
        <v>678</v>
      </c>
      <c r="G153" s="241" t="s">
        <v>243</v>
      </c>
      <c r="H153" s="241" t="s">
        <v>244</v>
      </c>
      <c r="I153" s="241"/>
      <c r="J153" s="241" t="s">
        <v>152</v>
      </c>
      <c r="K153" s="106" t="str">
        <f>VLOOKUP(G153,Dataset!F:H,2,0)</f>
        <v>IIT Bombay</v>
      </c>
      <c r="L153" s="248" t="str">
        <f>K153</f>
        <v>IIT Bombay</v>
      </c>
      <c r="M153" s="107" t="str">
        <f>VLOOKUP(G153,Dataset!F:H,3,0)</f>
        <v>TG 2 Saikat Ghosh</v>
      </c>
      <c r="N153" s="248" t="str">
        <f>M153</f>
        <v>TG 2 Saikat Ghosh</v>
      </c>
      <c r="O153" s="248"/>
      <c r="P153" s="164"/>
    </row>
    <row r="154" spans="1:16" s="108" customFormat="1" ht="25.5" thickBot="1">
      <c r="A154" s="238">
        <v>46079.747141203705</v>
      </c>
      <c r="B154" s="241" t="s">
        <v>682</v>
      </c>
      <c r="C154" s="241" t="s">
        <v>397</v>
      </c>
      <c r="D154" s="241" t="s">
        <v>311</v>
      </c>
      <c r="E154" s="241"/>
      <c r="F154" s="241" t="s">
        <v>683</v>
      </c>
      <c r="G154" s="241" t="s">
        <v>684</v>
      </c>
      <c r="H154" s="241" t="s">
        <v>685</v>
      </c>
      <c r="I154" s="241" t="s">
        <v>686</v>
      </c>
      <c r="J154" s="241" t="s">
        <v>158</v>
      </c>
      <c r="K154" s="248"/>
      <c r="L154" s="248" t="s">
        <v>403</v>
      </c>
      <c r="M154" s="248"/>
      <c r="N154" s="248"/>
      <c r="O154" s="248"/>
      <c r="P154" s="248"/>
    </row>
    <row r="155" spans="1:16" s="113" customFormat="1" ht="25.5" thickBot="1">
      <c r="A155" s="118">
        <v>46079.748043981483</v>
      </c>
      <c r="B155" s="119" t="s">
        <v>687</v>
      </c>
      <c r="C155" s="119" t="s">
        <v>372</v>
      </c>
      <c r="D155" s="119" t="s">
        <v>147</v>
      </c>
      <c r="E155" s="119" t="s">
        <v>373</v>
      </c>
      <c r="F155" s="119" t="s">
        <v>374</v>
      </c>
      <c r="G155" s="119" t="s">
        <v>375</v>
      </c>
      <c r="H155" s="119" t="s">
        <v>376</v>
      </c>
      <c r="I155" s="119"/>
      <c r="J155" s="119" t="s">
        <v>158</v>
      </c>
      <c r="K155" s="248"/>
      <c r="L155" s="108"/>
      <c r="M155" s="108"/>
      <c r="N155" s="108"/>
      <c r="O155" s="108"/>
    </row>
    <row r="156" spans="1:16" s="113" customFormat="1" ht="25.5" thickBot="1">
      <c r="A156" s="118">
        <v>46095.794212962966</v>
      </c>
      <c r="B156" s="119" t="s">
        <v>252</v>
      </c>
      <c r="C156" s="119" t="s">
        <v>253</v>
      </c>
      <c r="D156" s="119" t="s">
        <v>147</v>
      </c>
      <c r="E156" s="119" t="s">
        <v>706</v>
      </c>
      <c r="F156" s="119" t="s">
        <v>255</v>
      </c>
      <c r="G156" s="119" t="s">
        <v>256</v>
      </c>
      <c r="H156" s="119" t="s">
        <v>164</v>
      </c>
      <c r="I156" s="119"/>
      <c r="J156" s="119" t="s">
        <v>152</v>
      </c>
      <c r="K156" s="106" t="str">
        <f>VLOOKUP(G156,Dataset!F:H,2,0)</f>
        <v>IIT Bombay</v>
      </c>
      <c r="L156" s="108"/>
      <c r="M156" s="256" t="str">
        <f>VLOOKUP(G156,Dataset!F:H,3,0)</f>
        <v>TG 3 Kasturi Saha</v>
      </c>
      <c r="N156" s="108"/>
      <c r="O156" s="108"/>
    </row>
    <row r="157" spans="1:16" ht="38" thickBot="1">
      <c r="A157" s="118">
        <v>46095.873460648145</v>
      </c>
      <c r="B157" s="119" t="s">
        <v>563</v>
      </c>
      <c r="C157" s="119" t="s">
        <v>564</v>
      </c>
      <c r="D157" s="119" t="s">
        <v>147</v>
      </c>
      <c r="E157" s="243" t="s">
        <v>707</v>
      </c>
      <c r="F157" s="119" t="s">
        <v>566</v>
      </c>
      <c r="G157" s="119" t="s">
        <v>567</v>
      </c>
      <c r="H157" s="119" t="s">
        <v>262</v>
      </c>
      <c r="I157" s="119"/>
      <c r="J157" s="119" t="s">
        <v>173</v>
      </c>
      <c r="K157" s="106" t="str">
        <f>VLOOKUP(G157,Dataset!F:H,2,0)</f>
        <v>IISc Bangalore</v>
      </c>
      <c r="L157" s="250"/>
      <c r="M157" s="256" t="str">
        <f>VLOOKUP(G157,Dataset!F:H,3,0)</f>
        <v>TG 6 Quantum Computing with Neutral Atoms, Trapped Ions and Related Hybrid Systems</v>
      </c>
      <c r="N157" s="108"/>
      <c r="O157" s="108"/>
    </row>
    <row r="158" spans="1:16" s="108" customFormat="1" ht="25.5" thickBot="1">
      <c r="A158" s="118">
        <v>46097.532824074071</v>
      </c>
      <c r="B158" s="119" t="s">
        <v>744</v>
      </c>
      <c r="C158" s="119" t="s">
        <v>745</v>
      </c>
      <c r="D158" s="119" t="s">
        <v>147</v>
      </c>
      <c r="E158" s="243"/>
      <c r="F158" s="119" t="s">
        <v>746</v>
      </c>
      <c r="G158" s="119" t="s">
        <v>747</v>
      </c>
      <c r="H158" s="165" t="s">
        <v>748</v>
      </c>
      <c r="I158" s="119"/>
      <c r="J158" s="119" t="s">
        <v>291</v>
      </c>
      <c r="K158" s="106" t="e">
        <f>VLOOKUP(G158,Dataset!F:H,2,0)</f>
        <v>#N/A</v>
      </c>
      <c r="M158" s="256" t="e">
        <f>VLOOKUP(G158,Dataset!F:H,3,0)</f>
        <v>#N/A</v>
      </c>
    </row>
    <row r="159" spans="1:16" s="108" customFormat="1" ht="25.5" thickBot="1">
      <c r="A159" s="118">
        <v>46097.820787037039</v>
      </c>
      <c r="B159" s="119" t="s">
        <v>757</v>
      </c>
      <c r="C159" s="119" t="s">
        <v>758</v>
      </c>
      <c r="D159" s="119" t="s">
        <v>311</v>
      </c>
      <c r="E159" s="243"/>
      <c r="F159" s="119" t="s">
        <v>759</v>
      </c>
      <c r="G159" s="119" t="s">
        <v>760</v>
      </c>
      <c r="H159" s="119" t="s">
        <v>761</v>
      </c>
      <c r="I159" s="119" t="s">
        <v>762</v>
      </c>
      <c r="J159" s="119" t="s">
        <v>763</v>
      </c>
      <c r="K159" s="106" t="e">
        <f>VLOOKUP(G159,Dataset!F:H,2,0)</f>
        <v>#N/A</v>
      </c>
      <c r="L159" s="108" t="s">
        <v>174</v>
      </c>
      <c r="M159" s="256" t="e">
        <f>VLOOKUP(G159,Dataset!F:H,3,0)</f>
        <v>#N/A</v>
      </c>
    </row>
    <row r="160" spans="1:16" s="108" customFormat="1" ht="25.5" thickBot="1">
      <c r="A160" s="118">
        <v>46097.88517361111</v>
      </c>
      <c r="B160" s="119" t="s">
        <v>764</v>
      </c>
      <c r="C160" s="119" t="s">
        <v>765</v>
      </c>
      <c r="D160" s="119" t="s">
        <v>131</v>
      </c>
      <c r="E160" s="243"/>
      <c r="F160" s="119" t="s">
        <v>766</v>
      </c>
      <c r="G160" s="119" t="s">
        <v>767</v>
      </c>
      <c r="H160" s="119" t="s">
        <v>768</v>
      </c>
      <c r="I160" s="119" t="s">
        <v>370</v>
      </c>
      <c r="J160" s="119" t="s">
        <v>201</v>
      </c>
      <c r="K160" s="106" t="e">
        <f>VLOOKUP(G160,Dataset!F:H,2,0)</f>
        <v>#N/A</v>
      </c>
      <c r="M160" s="256" t="e">
        <f>VLOOKUP(G160,Dataset!F:H,3,0)</f>
        <v>#N/A</v>
      </c>
    </row>
    <row r="161" spans="1:29" s="108" customFormat="1" ht="38" thickBot="1">
      <c r="A161" s="120">
        <v>46098.402986111112</v>
      </c>
      <c r="B161" s="121" t="s">
        <v>773</v>
      </c>
      <c r="C161" s="121" t="s">
        <v>774</v>
      </c>
      <c r="D161" s="121" t="s">
        <v>178</v>
      </c>
      <c r="E161" s="244" t="s">
        <v>52</v>
      </c>
      <c r="F161" s="121" t="s">
        <v>775</v>
      </c>
      <c r="G161" s="121" t="s">
        <v>776</v>
      </c>
      <c r="H161" s="121" t="s">
        <v>584</v>
      </c>
      <c r="I161" s="121" t="s">
        <v>777</v>
      </c>
      <c r="J161" s="121" t="s">
        <v>173</v>
      </c>
      <c r="K161" s="102" t="e">
        <f>VLOOKUP(G161,Dataset!F:H,2,0)</f>
        <v>#N/A</v>
      </c>
      <c r="L161" s="244" t="s">
        <v>174</v>
      </c>
      <c r="M161" s="257" t="e">
        <f>VLOOKUP(G161,Dataset!F:H,3,0)</f>
        <v>#N/A</v>
      </c>
      <c r="N161" s="103"/>
      <c r="O161" s="103"/>
    </row>
    <row r="162" spans="1:29" ht="38" thickBot="1">
      <c r="A162" s="118">
        <v>46098.456828703704</v>
      </c>
      <c r="B162" s="119" t="s">
        <v>167</v>
      </c>
      <c r="C162" s="119" t="s">
        <v>168</v>
      </c>
      <c r="D162" s="119" t="s">
        <v>147</v>
      </c>
      <c r="E162" s="243" t="s">
        <v>52</v>
      </c>
      <c r="F162" s="119" t="s">
        <v>169</v>
      </c>
      <c r="G162" s="119" t="s">
        <v>170</v>
      </c>
      <c r="H162" s="119" t="s">
        <v>171</v>
      </c>
      <c r="I162" s="119"/>
      <c r="J162" s="119" t="s">
        <v>173</v>
      </c>
      <c r="K162" s="106" t="e">
        <f>VLOOKUP(G162,Dataset!F:H,2,0)</f>
        <v>#N/A</v>
      </c>
      <c r="L162" s="108"/>
      <c r="M162" s="256" t="e">
        <f>VLOOKUP(G162,Dataset!F:H,3,0)</f>
        <v>#N/A</v>
      </c>
      <c r="N162" s="122" t="s">
        <v>782</v>
      </c>
      <c r="O162" s="122"/>
    </row>
    <row r="163" spans="1:29" s="108" customFormat="1" ht="25.5" thickBot="1">
      <c r="A163" s="118">
        <v>46098.904733796298</v>
      </c>
      <c r="B163" s="119" t="s">
        <v>833</v>
      </c>
      <c r="C163" s="119" t="s">
        <v>689</v>
      </c>
      <c r="D163" s="119" t="s">
        <v>147</v>
      </c>
      <c r="E163" s="243" t="s">
        <v>112</v>
      </c>
      <c r="F163" s="119" t="s">
        <v>834</v>
      </c>
      <c r="G163" s="119" t="s">
        <v>835</v>
      </c>
      <c r="H163" s="119" t="s">
        <v>340</v>
      </c>
      <c r="I163" s="119"/>
      <c r="J163" s="119" t="s">
        <v>158</v>
      </c>
      <c r="K163" s="106" t="e">
        <f>VLOOKUP(G163,Dataset!F:H,2,0)</f>
        <v>#N/A</v>
      </c>
      <c r="L163" s="250" t="s">
        <v>209</v>
      </c>
      <c r="M163" s="256" t="e">
        <f>VLOOKUP(G163,Dataset!F:H,3,0)</f>
        <v>#N/A</v>
      </c>
      <c r="O163" s="108" t="s">
        <v>2492</v>
      </c>
    </row>
    <row r="164" spans="1:29" ht="25.5" thickBot="1">
      <c r="A164" s="116">
        <v>46099.563032407408</v>
      </c>
      <c r="B164" s="117" t="s">
        <v>848</v>
      </c>
      <c r="C164" s="117" t="s">
        <v>849</v>
      </c>
      <c r="D164" s="117" t="s">
        <v>401</v>
      </c>
      <c r="E164" s="200"/>
      <c r="F164" s="117" t="s">
        <v>850</v>
      </c>
      <c r="G164" s="117" t="s">
        <v>851</v>
      </c>
      <c r="H164" s="117" t="s">
        <v>852</v>
      </c>
      <c r="I164" s="117" t="s">
        <v>328</v>
      </c>
      <c r="J164" s="117" t="s">
        <v>143</v>
      </c>
      <c r="K164" s="100" t="e">
        <f>VLOOKUP(G164,Dataset!F:H,2,0)</f>
        <v>#N/A</v>
      </c>
      <c r="L164" s="386" t="s">
        <v>144</v>
      </c>
      <c r="M164" s="167" t="e">
        <f>VLOOKUP(G164,Dataset!F:H,3,0)</f>
        <v>#N/A</v>
      </c>
      <c r="O164" t="s">
        <v>2487</v>
      </c>
    </row>
    <row r="165" spans="1:29" ht="25.5" thickBot="1">
      <c r="A165" s="116">
        <v>46100.480613425927</v>
      </c>
      <c r="B165" s="117" t="s">
        <v>853</v>
      </c>
      <c r="C165" s="117" t="s">
        <v>854</v>
      </c>
      <c r="D165" s="117" t="s">
        <v>147</v>
      </c>
      <c r="E165" s="200"/>
      <c r="F165" s="117" t="s">
        <v>855</v>
      </c>
      <c r="G165" s="117" t="s">
        <v>856</v>
      </c>
      <c r="H165" s="117" t="s">
        <v>857</v>
      </c>
      <c r="I165" s="117"/>
      <c r="J165" s="117" t="s">
        <v>653</v>
      </c>
      <c r="K165" s="100" t="e">
        <f>VLOOKUP(G165,Dataset!F:H,2,0)</f>
        <v>#N/A</v>
      </c>
      <c r="L165" s="255" t="s">
        <v>137</v>
      </c>
      <c r="M165" s="167" t="e">
        <f>VLOOKUP(G165,Dataset!F:H,3,0)</f>
        <v>#N/A</v>
      </c>
      <c r="O165" t="s">
        <v>2493</v>
      </c>
    </row>
    <row r="166" spans="1:29" ht="25.5" thickBot="1">
      <c r="A166" s="118">
        <v>46100.580138888887</v>
      </c>
      <c r="B166" s="119" t="s">
        <v>642</v>
      </c>
      <c r="C166" s="119" t="s">
        <v>783</v>
      </c>
      <c r="D166" s="119" t="s">
        <v>147</v>
      </c>
      <c r="E166" s="243"/>
      <c r="F166" s="119" t="s">
        <v>784</v>
      </c>
      <c r="G166" s="119" t="s">
        <v>785</v>
      </c>
      <c r="H166" s="119" t="s">
        <v>262</v>
      </c>
      <c r="I166" s="119"/>
      <c r="J166" s="119" t="s">
        <v>786</v>
      </c>
      <c r="K166" s="106" t="e">
        <f>VLOOKUP(G166,Dataset!F:H,2,0)</f>
        <v>#N/A</v>
      </c>
      <c r="L166" s="250"/>
      <c r="M166" s="256" t="e">
        <f>VLOOKUP(G166,Dataset!F:H,3,0)</f>
        <v>#N/A</v>
      </c>
      <c r="N166" s="108"/>
      <c r="O166" s="108"/>
    </row>
    <row r="167" spans="1:29" ht="63" thickBot="1">
      <c r="A167" s="239">
        <v>46100.753032407411</v>
      </c>
      <c r="B167" s="242" t="s">
        <v>1387</v>
      </c>
      <c r="C167" s="242" t="s">
        <v>1388</v>
      </c>
      <c r="D167" s="242" t="s">
        <v>178</v>
      </c>
      <c r="E167" s="246"/>
      <c r="F167" s="242" t="s">
        <v>1389</v>
      </c>
      <c r="G167" s="242" t="s">
        <v>1390</v>
      </c>
      <c r="H167" s="242" t="s">
        <v>1391</v>
      </c>
      <c r="I167" s="247" t="s">
        <v>777</v>
      </c>
      <c r="J167" s="247" t="s">
        <v>1392</v>
      </c>
      <c r="K167" s="178" t="s">
        <v>93</v>
      </c>
      <c r="L167" s="254" t="str">
        <f>K167</f>
        <v>IITM CDOT Samgnya Technologies Foundation at IIT Madras</v>
      </c>
      <c r="M167" s="257" t="e">
        <f>VLOOKUP(G167,Dataset!F:H,3,0)</f>
        <v>#N/A</v>
      </c>
      <c r="N167" s="103"/>
      <c r="O167" s="103" t="s">
        <v>2494</v>
      </c>
    </row>
    <row r="168" spans="1:29" ht="25.5" thickBot="1">
      <c r="A168" s="201">
        <v>46105.597372685188</v>
      </c>
      <c r="B168" s="202" t="s">
        <v>371</v>
      </c>
      <c r="C168" s="202" t="s">
        <v>372</v>
      </c>
      <c r="D168" s="202" t="s">
        <v>178</v>
      </c>
      <c r="E168" s="108"/>
      <c r="F168" s="202" t="s">
        <v>374</v>
      </c>
      <c r="G168" s="202" t="s">
        <v>1643</v>
      </c>
      <c r="H168" s="202" t="s">
        <v>376</v>
      </c>
      <c r="I168" s="202" t="s">
        <v>373</v>
      </c>
      <c r="J168" s="202" t="s">
        <v>158</v>
      </c>
      <c r="K168" s="106" t="e">
        <f>VLOOKUP(G168,Dataset!F:H,2,0)</f>
        <v>#N/A</v>
      </c>
      <c r="L168" s="255" t="s">
        <v>743</v>
      </c>
      <c r="M168" s="108"/>
      <c r="N168" s="108"/>
      <c r="O168" s="108"/>
    </row>
    <row r="169" spans="1:29" ht="38" thickBot="1">
      <c r="A169" s="201">
        <v>46105.610567129632</v>
      </c>
      <c r="B169" s="202" t="s">
        <v>1644</v>
      </c>
      <c r="C169" s="202" t="s">
        <v>1645</v>
      </c>
      <c r="D169" s="202" t="s">
        <v>178</v>
      </c>
      <c r="E169" s="249"/>
      <c r="F169" s="202" t="s">
        <v>437</v>
      </c>
      <c r="G169" s="202" t="s">
        <v>438</v>
      </c>
      <c r="H169" s="202" t="s">
        <v>439</v>
      </c>
      <c r="I169" s="202" t="s">
        <v>440</v>
      </c>
      <c r="J169" s="202" t="s">
        <v>1646</v>
      </c>
      <c r="K169" s="106" t="str">
        <f>VLOOKUP(G169,Dataset!F:H,2,0)</f>
        <v>IIT Madras</v>
      </c>
      <c r="L169" s="250" t="s">
        <v>743</v>
      </c>
      <c r="M169" s="108"/>
      <c r="N169" s="108"/>
      <c r="O169" s="108"/>
    </row>
    <row r="170" spans="1:29" s="103" customFormat="1" ht="25.5" thickBot="1">
      <c r="A170" s="203">
        <v>46105.618287037039</v>
      </c>
      <c r="B170" s="204" t="s">
        <v>1647</v>
      </c>
      <c r="C170" s="204" t="s">
        <v>1648</v>
      </c>
      <c r="D170" s="204" t="s">
        <v>147</v>
      </c>
      <c r="E170" s="253"/>
      <c r="F170" s="204" t="s">
        <v>1649</v>
      </c>
      <c r="G170" s="204" t="s">
        <v>1650</v>
      </c>
      <c r="H170" s="204" t="s">
        <v>1651</v>
      </c>
      <c r="I170" s="204"/>
      <c r="J170" s="204" t="s">
        <v>263</v>
      </c>
      <c r="K170" s="102" t="e">
        <f>VLOOKUP(G170,Dataset!F:H,2,0)</f>
        <v>#N/A</v>
      </c>
    </row>
    <row r="171" spans="1:29" ht="25.5" thickBot="1">
      <c r="A171" s="201">
        <v>46105.654652777775</v>
      </c>
      <c r="B171" s="202" t="s">
        <v>1647</v>
      </c>
      <c r="C171" s="202" t="s">
        <v>1648</v>
      </c>
      <c r="D171" s="202" t="s">
        <v>147</v>
      </c>
      <c r="E171" s="249"/>
      <c r="F171" s="202" t="s">
        <v>1649</v>
      </c>
      <c r="G171" s="202" t="s">
        <v>1650</v>
      </c>
      <c r="H171" s="202" t="s">
        <v>1651</v>
      </c>
      <c r="I171" s="202"/>
      <c r="J171" s="202" t="s">
        <v>263</v>
      </c>
      <c r="K171" s="277" t="e">
        <f>VLOOKUP(G171,Dataset!F:H,2,0)</f>
        <v>#N/A</v>
      </c>
      <c r="L171" s="273" t="s">
        <v>743</v>
      </c>
      <c r="M171" s="249"/>
      <c r="N171" s="249"/>
      <c r="O171" s="249"/>
      <c r="P171" s="117"/>
      <c r="Q171" s="117"/>
      <c r="R171" s="117"/>
      <c r="S171" s="117"/>
      <c r="T171" s="117"/>
      <c r="U171" s="117"/>
      <c r="V171" s="117"/>
      <c r="W171" s="117"/>
      <c r="X171" s="117"/>
      <c r="Y171" s="117"/>
      <c r="Z171" s="117"/>
      <c r="AA171" s="117"/>
      <c r="AB171" s="117"/>
      <c r="AC171" s="117"/>
    </row>
    <row r="172" spans="1:29" ht="25.5" thickBot="1">
      <c r="A172" s="203">
        <v>46105.747118055559</v>
      </c>
      <c r="B172" s="204" t="s">
        <v>1661</v>
      </c>
      <c r="C172" s="204" t="s">
        <v>611</v>
      </c>
      <c r="D172" s="204" t="s">
        <v>147</v>
      </c>
      <c r="E172" s="253"/>
      <c r="F172" s="204" t="s">
        <v>1662</v>
      </c>
      <c r="G172" s="204" t="s">
        <v>1663</v>
      </c>
      <c r="H172" s="204" t="s">
        <v>285</v>
      </c>
      <c r="I172" s="204"/>
      <c r="J172" s="204" t="s">
        <v>1664</v>
      </c>
      <c r="K172" s="278" t="e">
        <f>VLOOKUP(G172,Dataset!F:H,2,0)</f>
        <v>#N/A</v>
      </c>
      <c r="L172" s="253"/>
      <c r="M172" s="253"/>
      <c r="N172" s="253"/>
      <c r="O172" s="253"/>
      <c r="P172" s="117"/>
      <c r="Q172" s="117"/>
      <c r="R172" s="117"/>
      <c r="S172" s="117"/>
      <c r="T172" s="117"/>
      <c r="U172" s="117"/>
      <c r="V172" s="117"/>
      <c r="W172" s="117"/>
      <c r="X172" s="117"/>
      <c r="Y172" s="117"/>
      <c r="Z172" s="117"/>
      <c r="AA172" s="117"/>
      <c r="AB172" s="117"/>
      <c r="AC172" s="117"/>
    </row>
    <row r="173" spans="1:29" ht="25.5" thickBot="1">
      <c r="A173" s="116">
        <v>46110.736400462964</v>
      </c>
      <c r="B173" s="117" t="s">
        <v>636</v>
      </c>
      <c r="C173" s="117" t="s">
        <v>212</v>
      </c>
      <c r="D173" s="117" t="s">
        <v>131</v>
      </c>
      <c r="E173" s="117"/>
      <c r="F173" s="117" t="s">
        <v>1850</v>
      </c>
      <c r="G173" s="117" t="s">
        <v>1851</v>
      </c>
      <c r="H173" s="117" t="s">
        <v>1852</v>
      </c>
      <c r="I173" s="117" t="s">
        <v>1853</v>
      </c>
      <c r="J173" s="117" t="s">
        <v>143</v>
      </c>
      <c r="K173" s="235" t="s">
        <v>104</v>
      </c>
      <c r="L173" s="117"/>
      <c r="M173" s="117">
        <v>6.5059542566476298E+18</v>
      </c>
      <c r="N173" s="117"/>
      <c r="O173" s="117"/>
      <c r="P173" s="117"/>
      <c r="Q173" s="117"/>
      <c r="R173" s="117"/>
      <c r="S173" s="117"/>
      <c r="T173" s="117"/>
      <c r="U173" s="117"/>
      <c r="V173" s="117"/>
      <c r="W173" s="117"/>
      <c r="X173" s="117"/>
      <c r="Y173" s="117"/>
      <c r="Z173" s="117"/>
      <c r="AA173" s="117"/>
      <c r="AB173" s="117"/>
      <c r="AC173" s="117"/>
    </row>
    <row r="174" spans="1:29" ht="25.5" thickBot="1">
      <c r="A174" s="116">
        <v>46111.115405092591</v>
      </c>
      <c r="B174" s="117" t="s">
        <v>1854</v>
      </c>
      <c r="C174" s="117" t="s">
        <v>272</v>
      </c>
      <c r="D174" s="117" t="s">
        <v>147</v>
      </c>
      <c r="E174" s="117"/>
      <c r="F174" s="117" t="s">
        <v>1855</v>
      </c>
      <c r="G174" s="117" t="s">
        <v>934</v>
      </c>
      <c r="H174" s="117" t="s">
        <v>164</v>
      </c>
      <c r="I174" s="117"/>
      <c r="J174" s="117" t="s">
        <v>1856</v>
      </c>
      <c r="K174" s="235" t="s">
        <v>93</v>
      </c>
      <c r="L174" s="117"/>
      <c r="M174" s="117">
        <v>6.5062817125251195E+18</v>
      </c>
      <c r="N174" s="117"/>
      <c r="O174" s="117"/>
      <c r="P174" s="117"/>
      <c r="Q174" s="117"/>
      <c r="R174" s="117"/>
      <c r="S174" s="117"/>
      <c r="T174" s="117"/>
      <c r="U174" s="117"/>
      <c r="V174" s="117"/>
      <c r="W174" s="117"/>
      <c r="X174" s="117"/>
      <c r="Y174" s="117"/>
      <c r="Z174" s="117"/>
      <c r="AA174" s="117"/>
      <c r="AB174" s="117"/>
      <c r="AC174" s="117"/>
    </row>
    <row r="175" spans="1:29" ht="25.5" thickBot="1">
      <c r="A175" s="116">
        <v>46111.429212962961</v>
      </c>
      <c r="B175" s="117" t="s">
        <v>1857</v>
      </c>
      <c r="C175" s="117" t="s">
        <v>1858</v>
      </c>
      <c r="D175" s="117" t="s">
        <v>178</v>
      </c>
      <c r="E175" s="117"/>
      <c r="F175" s="117" t="s">
        <v>1859</v>
      </c>
      <c r="G175" s="117" t="s">
        <v>1079</v>
      </c>
      <c r="H175" s="117" t="s">
        <v>1860</v>
      </c>
      <c r="I175" s="117" t="s">
        <v>1861</v>
      </c>
      <c r="J175" s="117" t="s">
        <v>158</v>
      </c>
      <c r="K175" s="235" t="s">
        <v>93</v>
      </c>
      <c r="L175" s="117"/>
      <c r="M175" s="117">
        <v>6.5065528402118697E+18</v>
      </c>
      <c r="N175" s="117"/>
      <c r="O175" s="117"/>
      <c r="P175" s="117"/>
      <c r="Q175" s="117"/>
      <c r="R175" s="117"/>
      <c r="S175" s="117"/>
      <c r="T175" s="117"/>
      <c r="U175" s="117"/>
      <c r="V175" s="117"/>
      <c r="W175" s="117"/>
      <c r="X175" s="117"/>
      <c r="Y175" s="117"/>
      <c r="Z175" s="117"/>
      <c r="AA175" s="117"/>
      <c r="AB175" s="117"/>
      <c r="AC175" s="117"/>
    </row>
    <row r="176" spans="1:29" s="113" customFormat="1">
      <c r="B176" s="385" t="s">
        <v>2209</v>
      </c>
      <c r="C176" s="385" t="s">
        <v>2245</v>
      </c>
      <c r="I176" s="113" t="s">
        <v>2246</v>
      </c>
    </row>
    <row r="177" spans="1:29" ht="25.5" thickBot="1">
      <c r="B177" s="384" t="s">
        <v>2241</v>
      </c>
      <c r="C177" s="384" t="s">
        <v>2242</v>
      </c>
      <c r="D177" s="386" t="s">
        <v>2243</v>
      </c>
      <c r="E177" s="200" t="s">
        <v>2244</v>
      </c>
    </row>
    <row r="178" spans="1:29" ht="25.5" thickBot="1">
      <c r="A178" s="116">
        <v>46111.459363425929</v>
      </c>
      <c r="B178" s="117" t="s">
        <v>2252</v>
      </c>
      <c r="C178" s="117" t="s">
        <v>2253</v>
      </c>
      <c r="D178" s="117" t="s">
        <v>147</v>
      </c>
      <c r="E178" s="117"/>
      <c r="F178" s="117" t="s">
        <v>2254</v>
      </c>
      <c r="G178" s="117" t="s">
        <v>2255</v>
      </c>
      <c r="H178" s="117" t="s">
        <v>262</v>
      </c>
      <c r="I178" s="117"/>
      <c r="J178" s="117" t="s">
        <v>143</v>
      </c>
      <c r="K178" s="235" t="s">
        <v>112</v>
      </c>
      <c r="L178" s="117"/>
      <c r="M178" s="117">
        <v>6.5065788978815703E+18</v>
      </c>
      <c r="N178" s="117"/>
      <c r="O178" s="117"/>
      <c r="P178" s="117"/>
      <c r="Q178" s="117"/>
      <c r="R178" s="117"/>
      <c r="S178" s="117"/>
      <c r="T178" s="117"/>
      <c r="U178" s="117"/>
      <c r="V178" s="117"/>
      <c r="W178" s="117"/>
      <c r="X178" s="117"/>
      <c r="Y178" s="117"/>
      <c r="Z178" s="117"/>
      <c r="AA178" s="117"/>
      <c r="AB178" s="117"/>
      <c r="AC178" s="117"/>
    </row>
    <row r="179" spans="1:29" s="113" customFormat="1" ht="25.5" thickBot="1">
      <c r="A179" s="396">
        <v>46111.534849537034</v>
      </c>
      <c r="B179" s="397" t="s">
        <v>2256</v>
      </c>
      <c r="C179" s="397" t="s">
        <v>2257</v>
      </c>
      <c r="D179" s="397" t="s">
        <v>147</v>
      </c>
      <c r="E179" s="397"/>
      <c r="F179" s="397" t="s">
        <v>2258</v>
      </c>
      <c r="G179" s="549" t="s">
        <v>2259</v>
      </c>
      <c r="H179" s="397" t="s">
        <v>285</v>
      </c>
      <c r="I179" s="397"/>
      <c r="J179" s="397" t="s">
        <v>263</v>
      </c>
      <c r="K179" s="398" t="s">
        <v>52</v>
      </c>
      <c r="L179" s="397"/>
      <c r="M179" s="397">
        <v>6.50664411128333E+18</v>
      </c>
      <c r="N179" s="397"/>
      <c r="O179" s="397"/>
      <c r="P179" s="397"/>
      <c r="Q179" s="397"/>
      <c r="R179" s="397"/>
      <c r="S179" s="397"/>
      <c r="T179" s="397"/>
      <c r="U179" s="397"/>
      <c r="V179" s="397"/>
      <c r="W179" s="397"/>
      <c r="X179" s="397"/>
      <c r="Y179" s="397"/>
      <c r="Z179" s="397"/>
      <c r="AA179" s="397"/>
      <c r="AB179" s="397"/>
      <c r="AC179" s="397"/>
    </row>
    <row r="180" spans="1:29" ht="19" customHeight="1" thickBot="1">
      <c r="A180" s="116">
        <v>46111.600405092591</v>
      </c>
      <c r="B180" s="117" t="s">
        <v>2260</v>
      </c>
      <c r="C180" s="117" t="s">
        <v>549</v>
      </c>
      <c r="D180" s="117" t="s">
        <v>2261</v>
      </c>
      <c r="E180" s="117"/>
      <c r="F180" s="117" t="s">
        <v>2262</v>
      </c>
      <c r="G180" s="117" t="s">
        <v>2263</v>
      </c>
      <c r="H180" s="117" t="s">
        <v>2264</v>
      </c>
      <c r="I180" s="117" t="s">
        <v>2265</v>
      </c>
      <c r="J180" s="117" t="s">
        <v>2266</v>
      </c>
      <c r="K180" s="235" t="s">
        <v>104</v>
      </c>
      <c r="L180" s="117"/>
      <c r="M180" s="117">
        <v>6.5067007555273001E+18</v>
      </c>
      <c r="N180" s="117"/>
      <c r="O180" s="117"/>
      <c r="P180" s="117"/>
      <c r="Q180" s="117"/>
      <c r="R180" s="117"/>
      <c r="S180" s="117"/>
      <c r="T180" s="117"/>
      <c r="U180" s="117"/>
      <c r="V180" s="117"/>
      <c r="W180" s="117"/>
      <c r="X180" s="117"/>
      <c r="Y180" s="117"/>
      <c r="Z180" s="117"/>
      <c r="AA180" s="117"/>
      <c r="AB180" s="117"/>
      <c r="AC180" s="117"/>
    </row>
    <row r="181" spans="1:29" ht="63" thickBot="1">
      <c r="A181" s="116">
        <v>46111.623437499999</v>
      </c>
      <c r="B181" s="117" t="s">
        <v>326</v>
      </c>
      <c r="C181" s="117" t="s">
        <v>1532</v>
      </c>
      <c r="D181" s="117" t="s">
        <v>2261</v>
      </c>
      <c r="E181" s="117"/>
      <c r="F181" s="117" t="s">
        <v>2267</v>
      </c>
      <c r="G181" s="117" t="s">
        <v>2268</v>
      </c>
      <c r="H181" s="117" t="s">
        <v>2269</v>
      </c>
      <c r="I181" s="117" t="s">
        <v>2270</v>
      </c>
      <c r="J181" s="117" t="s">
        <v>251</v>
      </c>
      <c r="K181" s="235" t="s">
        <v>104</v>
      </c>
      <c r="L181" s="117"/>
      <c r="M181" s="117">
        <v>6.5067206561263596E+18</v>
      </c>
      <c r="N181" s="117"/>
      <c r="O181" s="117"/>
      <c r="P181" s="117"/>
      <c r="Q181" s="117"/>
      <c r="R181" s="117"/>
      <c r="S181" s="117"/>
      <c r="T181" s="117"/>
      <c r="U181" s="117"/>
      <c r="V181" s="117"/>
      <c r="W181" s="117"/>
      <c r="X181" s="117"/>
      <c r="Y181" s="117"/>
      <c r="Z181" s="117"/>
      <c r="AA181" s="117"/>
      <c r="AB181" s="117"/>
      <c r="AC181" s="117"/>
    </row>
    <row r="182" spans="1:29" ht="63" thickBot="1">
      <c r="A182" s="116">
        <v>46111.629317129627</v>
      </c>
      <c r="B182" s="117" t="s">
        <v>2271</v>
      </c>
      <c r="C182" s="117" t="s">
        <v>1655</v>
      </c>
      <c r="D182" s="117" t="s">
        <v>147</v>
      </c>
      <c r="E182" s="117"/>
      <c r="F182" s="117" t="s">
        <v>2272</v>
      </c>
      <c r="G182" s="117" t="s">
        <v>897</v>
      </c>
      <c r="H182" s="117" t="s">
        <v>164</v>
      </c>
      <c r="I182" s="117"/>
      <c r="J182" s="117" t="s">
        <v>216</v>
      </c>
      <c r="K182" s="235" t="s">
        <v>93</v>
      </c>
      <c r="L182" s="395" t="str">
        <f>K182</f>
        <v>IITM CDOT Samgnya Technologies Foundation at IIT Madras</v>
      </c>
      <c r="M182" s="117">
        <v>6.5067257309116201E+18</v>
      </c>
      <c r="N182" s="117"/>
      <c r="O182" s="117"/>
      <c r="P182" s="117"/>
      <c r="Q182" s="117"/>
      <c r="R182" s="117"/>
      <c r="S182" s="117"/>
      <c r="T182" s="117"/>
      <c r="U182" s="117"/>
      <c r="V182" s="117"/>
      <c r="W182" s="117"/>
      <c r="X182" s="117"/>
      <c r="Y182" s="117"/>
      <c r="Z182" s="117"/>
      <c r="AA182" s="117"/>
      <c r="AB182" s="117"/>
      <c r="AC182" s="117"/>
    </row>
    <row r="183" spans="1:29" ht="25.5" thickBot="1">
      <c r="A183" s="116">
        <v>46111.656030092592</v>
      </c>
      <c r="B183" s="117" t="s">
        <v>2273</v>
      </c>
      <c r="C183" s="117" t="s">
        <v>2274</v>
      </c>
      <c r="D183" s="117" t="s">
        <v>147</v>
      </c>
      <c r="E183" s="117"/>
      <c r="F183" s="117" t="s">
        <v>2275</v>
      </c>
      <c r="G183" s="117" t="s">
        <v>2276</v>
      </c>
      <c r="H183" s="117" t="s">
        <v>151</v>
      </c>
      <c r="I183" s="117"/>
      <c r="J183" s="117" t="s">
        <v>208</v>
      </c>
      <c r="K183" s="235" t="s">
        <v>112</v>
      </c>
      <c r="L183" s="117" t="str">
        <f>K183</f>
        <v>QMD Foundation at IIT Delhi</v>
      </c>
      <c r="M183" s="117">
        <v>6.5067488141274501E+18</v>
      </c>
      <c r="N183" s="117"/>
      <c r="O183" s="117"/>
      <c r="P183" s="117"/>
      <c r="Q183" s="117"/>
      <c r="R183" s="117"/>
      <c r="S183" s="117"/>
      <c r="T183" s="117"/>
      <c r="U183" s="117"/>
      <c r="V183" s="117"/>
      <c r="W183" s="117"/>
      <c r="X183" s="117"/>
      <c r="Y183" s="117"/>
      <c r="Z183" s="117"/>
      <c r="AA183" s="117"/>
      <c r="AB183" s="117"/>
      <c r="AC183" s="117"/>
    </row>
    <row r="184" spans="1:29" ht="25.5" thickBot="1">
      <c r="A184" s="116">
        <v>46111.773275462961</v>
      </c>
      <c r="B184" s="117" t="s">
        <v>2277</v>
      </c>
      <c r="C184" s="117" t="s">
        <v>2278</v>
      </c>
      <c r="D184" s="117" t="s">
        <v>2261</v>
      </c>
      <c r="E184" s="117"/>
      <c r="F184" s="117" t="s">
        <v>2279</v>
      </c>
      <c r="G184" s="117" t="s">
        <v>2280</v>
      </c>
      <c r="H184" s="117" t="s">
        <v>2281</v>
      </c>
      <c r="I184" s="117" t="s">
        <v>2282</v>
      </c>
      <c r="J184" s="117" t="s">
        <v>201</v>
      </c>
      <c r="K184" s="235" t="s">
        <v>104</v>
      </c>
      <c r="L184" s="117"/>
      <c r="M184" s="117">
        <v>6.5068501188996403E+18</v>
      </c>
      <c r="N184" s="117"/>
      <c r="O184" s="117"/>
      <c r="P184" s="117"/>
      <c r="Q184" s="117"/>
      <c r="R184" s="117"/>
      <c r="S184" s="117"/>
      <c r="T184" s="117"/>
      <c r="U184" s="117"/>
      <c r="V184" s="117"/>
      <c r="W184" s="117"/>
      <c r="X184" s="117"/>
      <c r="Y184" s="117"/>
      <c r="Z184" s="117"/>
      <c r="AA184" s="117"/>
      <c r="AB184" s="117"/>
      <c r="AC184" s="117"/>
    </row>
    <row r="185" spans="1:29" s="113" customFormat="1" ht="25.5" thickBot="1">
      <c r="A185" s="396">
        <v>46111.831435185188</v>
      </c>
      <c r="B185" s="397" t="s">
        <v>2283</v>
      </c>
      <c r="C185" s="397" t="s">
        <v>482</v>
      </c>
      <c r="D185" s="397" t="s">
        <v>147</v>
      </c>
      <c r="E185" s="397"/>
      <c r="F185" s="397" t="s">
        <v>2284</v>
      </c>
      <c r="G185" s="397" t="s">
        <v>2285</v>
      </c>
      <c r="H185" s="397" t="s">
        <v>2286</v>
      </c>
      <c r="I185" s="397"/>
      <c r="J185" s="397" t="s">
        <v>269</v>
      </c>
      <c r="K185" s="398" t="s">
        <v>104</v>
      </c>
      <c r="L185" s="397"/>
      <c r="M185" s="397">
        <v>6.5069003680213504E+18</v>
      </c>
      <c r="N185" s="397"/>
      <c r="O185" s="397"/>
      <c r="P185" s="397"/>
      <c r="Q185" s="397"/>
      <c r="R185" s="397"/>
      <c r="S185" s="397"/>
      <c r="T185" s="397"/>
      <c r="U185" s="397"/>
      <c r="V185" s="397"/>
      <c r="W185" s="397"/>
      <c r="X185" s="397"/>
      <c r="Y185" s="397"/>
      <c r="Z185" s="397"/>
      <c r="AA185" s="397"/>
      <c r="AB185" s="397"/>
      <c r="AC185" s="397"/>
    </row>
    <row r="186" spans="1:29" s="108" customFormat="1" ht="25.5" thickBot="1">
      <c r="A186" s="118">
        <v>46111.8437037037</v>
      </c>
      <c r="B186" s="119" t="s">
        <v>421</v>
      </c>
      <c r="C186" s="119" t="s">
        <v>422</v>
      </c>
      <c r="D186" s="119" t="s">
        <v>147</v>
      </c>
      <c r="E186" s="119"/>
      <c r="F186" s="119" t="s">
        <v>423</v>
      </c>
      <c r="G186" s="119" t="s">
        <v>424</v>
      </c>
      <c r="H186" s="119" t="s">
        <v>262</v>
      </c>
      <c r="I186" s="119"/>
      <c r="J186" s="119" t="s">
        <v>136</v>
      </c>
      <c r="K186" s="399" t="s">
        <v>93</v>
      </c>
      <c r="L186" s="119"/>
      <c r="M186" s="119">
        <v>6.50691096218257E+18</v>
      </c>
      <c r="N186" s="119"/>
      <c r="O186" s="119"/>
      <c r="P186" s="119" t="s">
        <v>743</v>
      </c>
      <c r="Q186" s="119"/>
      <c r="R186" s="119"/>
      <c r="S186" s="119"/>
      <c r="T186" s="119"/>
      <c r="U186" s="119"/>
      <c r="V186" s="119"/>
      <c r="W186" s="119"/>
      <c r="X186" s="119"/>
      <c r="Y186" s="119"/>
      <c r="Z186" s="119"/>
      <c r="AA186" s="119"/>
      <c r="AB186" s="119"/>
      <c r="AC186" s="119"/>
    </row>
    <row r="187" spans="1:29" ht="38" thickBot="1">
      <c r="A187" s="116">
        <v>46111.900312500002</v>
      </c>
      <c r="B187" s="117" t="s">
        <v>2288</v>
      </c>
      <c r="C187" s="117" t="s">
        <v>2289</v>
      </c>
      <c r="D187" s="117" t="s">
        <v>2261</v>
      </c>
      <c r="E187" s="117"/>
      <c r="F187" s="117" t="s">
        <v>2290</v>
      </c>
      <c r="G187" s="117" t="s">
        <v>2291</v>
      </c>
      <c r="H187" s="117" t="s">
        <v>134</v>
      </c>
      <c r="I187" s="117" t="s">
        <v>2292</v>
      </c>
      <c r="J187" s="117" t="s">
        <v>2293</v>
      </c>
      <c r="K187" s="235" t="s">
        <v>52</v>
      </c>
      <c r="L187" s="117" t="str">
        <f>K187</f>
        <v>Foundation for QC Innovation IISc Bangalore</v>
      </c>
      <c r="M187" s="117">
        <v>6.5069598706069596E+18</v>
      </c>
      <c r="N187" s="117"/>
      <c r="O187" s="117"/>
      <c r="P187" s="117" t="s">
        <v>1824</v>
      </c>
      <c r="Q187" s="117"/>
      <c r="R187" s="117"/>
      <c r="S187" s="117"/>
      <c r="T187" s="117"/>
      <c r="U187" s="117"/>
      <c r="V187" s="117"/>
      <c r="W187" s="117"/>
      <c r="X187" s="117"/>
      <c r="Y187" s="117"/>
      <c r="Z187" s="117"/>
      <c r="AA187" s="117"/>
      <c r="AB187" s="117"/>
      <c r="AC187" s="117"/>
    </row>
    <row r="188" spans="1:29" s="108" customFormat="1" ht="38" thickBot="1">
      <c r="A188" s="118">
        <v>46111.988020833334</v>
      </c>
      <c r="B188" s="119" t="s">
        <v>371</v>
      </c>
      <c r="C188" s="119" t="s">
        <v>372</v>
      </c>
      <c r="D188" s="119" t="s">
        <v>178</v>
      </c>
      <c r="E188" s="119"/>
      <c r="F188" s="119" t="s">
        <v>374</v>
      </c>
      <c r="G188" s="119" t="s">
        <v>375</v>
      </c>
      <c r="H188" s="119" t="s">
        <v>376</v>
      </c>
      <c r="I188" s="119" t="s">
        <v>2294</v>
      </c>
      <c r="J188" s="119" t="s">
        <v>158</v>
      </c>
      <c r="K188" s="399" t="s">
        <v>112</v>
      </c>
      <c r="L188" s="119"/>
      <c r="M188" s="119">
        <v>6.5070356533025997E+18</v>
      </c>
      <c r="N188" s="119"/>
      <c r="O188" s="119"/>
      <c r="P188" s="119" t="s">
        <v>743</v>
      </c>
      <c r="Q188" s="119"/>
      <c r="R188" s="119"/>
      <c r="S188" s="119"/>
      <c r="T188" s="119"/>
      <c r="U188" s="119"/>
      <c r="V188" s="119"/>
      <c r="W188" s="119"/>
      <c r="X188" s="119"/>
      <c r="Y188" s="119"/>
      <c r="Z188" s="119"/>
      <c r="AA188" s="119"/>
      <c r="AB188" s="119"/>
      <c r="AC188" s="119"/>
    </row>
    <row r="189" spans="1:29" ht="13" thickBot="1">
      <c r="B189" s="117" t="s">
        <v>2308</v>
      </c>
      <c r="C189" s="117" t="s">
        <v>2309</v>
      </c>
      <c r="G189" s="60" t="s">
        <v>2506</v>
      </c>
    </row>
    <row r="190" spans="1:29" ht="13" thickBot="1">
      <c r="B190" s="117" t="s">
        <v>2355</v>
      </c>
    </row>
    <row r="191" spans="1:29" ht="25.5" thickBot="1">
      <c r="A191" s="116">
        <v>46113.548668981479</v>
      </c>
      <c r="B191" s="117" t="s">
        <v>2369</v>
      </c>
      <c r="C191" s="117" t="s">
        <v>327</v>
      </c>
      <c r="D191" s="117" t="s">
        <v>2261</v>
      </c>
      <c r="E191" s="117"/>
      <c r="F191" s="117" t="s">
        <v>2370</v>
      </c>
      <c r="G191" s="117" t="s">
        <v>2371</v>
      </c>
      <c r="H191" s="117" t="s">
        <v>134</v>
      </c>
      <c r="I191" s="117" t="s">
        <v>2372</v>
      </c>
      <c r="J191" s="117" t="s">
        <v>2373</v>
      </c>
      <c r="K191" s="235" t="s">
        <v>104</v>
      </c>
      <c r="L191" s="117"/>
      <c r="M191" s="117">
        <v>6.5083840553226701E+18</v>
      </c>
      <c r="N191" s="117"/>
      <c r="O191" s="117"/>
      <c r="P191" s="117"/>
      <c r="Q191" s="117"/>
      <c r="R191" s="117"/>
      <c r="S191" s="117"/>
      <c r="T191" s="117"/>
      <c r="U191" s="117"/>
      <c r="V191" s="117"/>
      <c r="W191" s="117"/>
      <c r="X191" s="117"/>
      <c r="Y191" s="117"/>
      <c r="Z191" s="117"/>
      <c r="AA191" s="117"/>
      <c r="AB191" s="117"/>
      <c r="AC191" s="117"/>
    </row>
    <row r="192" spans="1:29" ht="38" thickBot="1">
      <c r="A192" s="116">
        <v>46113.610520833332</v>
      </c>
      <c r="B192" s="117" t="s">
        <v>2374</v>
      </c>
      <c r="C192" s="117" t="s">
        <v>2375</v>
      </c>
      <c r="D192" s="117" t="s">
        <v>131</v>
      </c>
      <c r="E192" s="117"/>
      <c r="F192" s="117" t="s">
        <v>2376</v>
      </c>
      <c r="G192" s="117" t="s">
        <v>2377</v>
      </c>
      <c r="H192" s="117" t="s">
        <v>2378</v>
      </c>
      <c r="I192" s="117" t="s">
        <v>2379</v>
      </c>
      <c r="J192" s="117" t="s">
        <v>2380</v>
      </c>
      <c r="K192" s="235" t="s">
        <v>112</v>
      </c>
      <c r="L192" s="117"/>
      <c r="M192" s="117">
        <v>6.5084374941143204E+18</v>
      </c>
      <c r="N192" s="117"/>
      <c r="O192" s="117"/>
      <c r="P192" s="117"/>
      <c r="Q192" s="117"/>
      <c r="R192" s="117"/>
      <c r="S192" s="117"/>
      <c r="T192" s="117"/>
      <c r="U192" s="117"/>
      <c r="V192" s="117"/>
      <c r="W192" s="117"/>
      <c r="X192" s="117"/>
      <c r="Y192" s="117"/>
      <c r="Z192" s="117"/>
      <c r="AA192" s="117"/>
      <c r="AB192" s="117"/>
      <c r="AC192" s="117"/>
    </row>
    <row r="193" spans="2:11">
      <c r="B193" s="384" t="s">
        <v>2498</v>
      </c>
      <c r="C193" s="386" t="s">
        <v>2499</v>
      </c>
      <c r="E193" t="s">
        <v>475</v>
      </c>
      <c r="G193" s="60" t="s">
        <v>2501</v>
      </c>
      <c r="H193" t="s">
        <v>2500</v>
      </c>
    </row>
    <row r="194" spans="2:11">
      <c r="B194" s="384" t="s">
        <v>1472</v>
      </c>
      <c r="C194" s="386" t="s">
        <v>2504</v>
      </c>
      <c r="E194" t="s">
        <v>299</v>
      </c>
      <c r="G194" s="60" t="s">
        <v>2505</v>
      </c>
      <c r="H194" t="s">
        <v>275</v>
      </c>
      <c r="K194" s="519" t="s">
        <v>299</v>
      </c>
    </row>
    <row r="196" spans="2:11" ht="25">
      <c r="B196" s="652" t="s">
        <v>2597</v>
      </c>
      <c r="C196" s="653" t="s">
        <v>2598</v>
      </c>
    </row>
    <row r="197" spans="2:11">
      <c r="B197" s="456" t="s">
        <v>2599</v>
      </c>
    </row>
  </sheetData>
  <autoFilter ref="A1:AC194" xr:uid="{7F57F166-076E-4213-863F-217E6F0C02F0}"/>
  <hyperlinks>
    <hyperlink ref="G108" r:id="rId1" xr:uid="{51B5F05A-8C66-4756-87A7-1D9D673AA66B}"/>
    <hyperlink ref="G77" r:id="rId2" xr:uid="{52D16467-AFE2-4E44-BFBA-F2A8C02FA7AB}"/>
    <hyperlink ref="G193" r:id="rId3" xr:uid="{10B6D7E0-9644-4878-AE3B-70D070CDBAF4}"/>
    <hyperlink ref="G194" r:id="rId4" xr:uid="{B0D13678-7FE2-4632-BEDA-FECCFE24624C}"/>
    <hyperlink ref="G189" r:id="rId5" xr:uid="{4F37CFFF-CAB8-485E-A7F1-0DD862211495}"/>
    <hyperlink ref="G179" r:id="rId6" xr:uid="{515B3EC0-C6AB-4AC7-8F09-5111E54E30B0}"/>
  </hyperlinks>
  <pageMargins left="0.7" right="0.7" top="0.75" bottom="0.75" header="0.3" footer="0.3"/>
  <pageSetup paperSize="9" orientation="portrait" verticalDpi="0"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6725F-60DF-4D6B-968B-D937C2BD3830}">
  <sheetPr filterMode="1"/>
  <dimension ref="A1:AC166"/>
  <sheetViews>
    <sheetView workbookViewId="0">
      <pane ySplit="1" topLeftCell="A148" activePane="bottomLeft" state="frozen"/>
      <selection pane="bottomLeft" activeCell="B132" sqref="B132"/>
    </sheetView>
  </sheetViews>
  <sheetFormatPr defaultRowHeight="12.5"/>
  <cols>
    <col min="1" max="1" width="18.26953125" customWidth="1"/>
    <col min="2" max="2" width="18.81640625" customWidth="1"/>
    <col min="3" max="3" width="18.7265625" customWidth="1"/>
    <col min="4" max="4" width="13" customWidth="1"/>
    <col min="5" max="5" width="19" customWidth="1"/>
    <col min="6" max="7" width="18.54296875" customWidth="1"/>
    <col min="8" max="8" width="18.453125" customWidth="1"/>
    <col min="9" max="9" width="18.1796875" customWidth="1"/>
    <col min="10" max="10" width="18.26953125" customWidth="1"/>
    <col min="11" max="11" width="14.26953125" customWidth="1"/>
    <col min="12" max="12" width="18.26953125" customWidth="1"/>
    <col min="13" max="13" width="27.81640625" customWidth="1"/>
    <col min="14" max="16" width="18.7265625" customWidth="1"/>
  </cols>
  <sheetData>
    <row r="1" spans="1:16" ht="25">
      <c r="A1" s="98" t="s">
        <v>116</v>
      </c>
      <c r="B1" s="57" t="s">
        <v>117</v>
      </c>
      <c r="C1" s="57" t="s">
        <v>118</v>
      </c>
      <c r="D1" s="57" t="s">
        <v>119</v>
      </c>
      <c r="E1" s="57" t="s">
        <v>120</v>
      </c>
      <c r="F1" s="57" t="s">
        <v>121</v>
      </c>
      <c r="G1" s="57" t="s">
        <v>122</v>
      </c>
      <c r="H1" s="57" t="s">
        <v>123</v>
      </c>
      <c r="I1" s="57" t="s">
        <v>124</v>
      </c>
      <c r="J1" s="57" t="s">
        <v>125</v>
      </c>
      <c r="K1" s="98" t="s">
        <v>43</v>
      </c>
      <c r="L1" s="98" t="s">
        <v>126</v>
      </c>
      <c r="M1" s="98" t="s">
        <v>44</v>
      </c>
      <c r="N1" s="98" t="s">
        <v>127</v>
      </c>
      <c r="O1" s="98"/>
      <c r="P1" s="176" t="s">
        <v>128</v>
      </c>
    </row>
    <row r="2" spans="1:16" s="113" customFormat="1" ht="25">
      <c r="A2" s="58">
        <v>46079.85229166667</v>
      </c>
      <c r="B2" s="57" t="s">
        <v>145</v>
      </c>
      <c r="C2" s="57" t="s">
        <v>146</v>
      </c>
      <c r="D2" s="57" t="s">
        <v>147</v>
      </c>
      <c r="E2" s="57" t="s">
        <v>148</v>
      </c>
      <c r="F2" s="57" t="s">
        <v>149</v>
      </c>
      <c r="G2" s="57" t="s">
        <v>150</v>
      </c>
      <c r="H2" s="57" t="s">
        <v>151</v>
      </c>
      <c r="I2" s="57"/>
      <c r="J2" s="57" t="s">
        <v>152</v>
      </c>
      <c r="K2" s="100" t="str">
        <f>VLOOKUP(G2,Dataset!F:H,2,0)</f>
        <v>IIT Madras</v>
      </c>
      <c r="L2" s="100" t="s">
        <v>137</v>
      </c>
      <c r="M2" s="99" t="str">
        <f>VLOOKUP(G2,Dataset!F:H,3,0)</f>
        <v>TAHQEECAT</v>
      </c>
      <c r="N2" s="100"/>
      <c r="O2" s="19"/>
    </row>
    <row r="3" spans="1:16" s="113" customFormat="1" ht="25">
      <c r="A3" s="58">
        <v>46079.900034722225</v>
      </c>
      <c r="B3" s="57" t="s">
        <v>153</v>
      </c>
      <c r="C3" s="57" t="s">
        <v>154</v>
      </c>
      <c r="D3" s="57" t="s">
        <v>147</v>
      </c>
      <c r="E3" s="57" t="s">
        <v>155</v>
      </c>
      <c r="F3" s="57" t="s">
        <v>156</v>
      </c>
      <c r="G3" s="57" t="s">
        <v>157</v>
      </c>
      <c r="H3" s="57" t="s">
        <v>151</v>
      </c>
      <c r="I3" s="57"/>
      <c r="J3" s="57" t="s">
        <v>158</v>
      </c>
      <c r="K3" s="100" t="str">
        <f>VLOOKUP(G3,Dataset!F:H,2,0)</f>
        <v>IIT Madras</v>
      </c>
      <c r="L3" s="100" t="s">
        <v>137</v>
      </c>
      <c r="M3" s="99" t="str">
        <f>VLOOKUP(G3,Dataset!F:H,3,0)</f>
        <v>TAHQEECAT</v>
      </c>
      <c r="N3" s="100"/>
      <c r="O3" s="19"/>
    </row>
    <row r="4" spans="1:16" ht="62.5" hidden="1">
      <c r="A4" s="58">
        <v>46079.905243055553</v>
      </c>
      <c r="B4" s="57" t="s">
        <v>159</v>
      </c>
      <c r="C4" s="57" t="s">
        <v>160</v>
      </c>
      <c r="D4" s="57" t="s">
        <v>147</v>
      </c>
      <c r="E4" s="57" t="s">
        <v>161</v>
      </c>
      <c r="F4" s="57" t="s">
        <v>162</v>
      </c>
      <c r="G4" s="57" t="s">
        <v>163</v>
      </c>
      <c r="H4" s="57" t="s">
        <v>164</v>
      </c>
      <c r="I4" s="57"/>
      <c r="J4" s="57" t="s">
        <v>143</v>
      </c>
      <c r="K4" s="100" t="e">
        <f>VLOOKUP(G4,Dataset!F:H,2,0)</f>
        <v>#N/A</v>
      </c>
      <c r="L4" s="99" t="s">
        <v>165</v>
      </c>
      <c r="M4" s="99" t="e">
        <f>VLOOKUP(G4,Dataset!F:H,3,0)</f>
        <v>#N/A</v>
      </c>
      <c r="N4" s="99" t="s">
        <v>166</v>
      </c>
      <c r="O4" s="167"/>
    </row>
    <row r="5" spans="1:16" ht="75" hidden="1">
      <c r="A5" s="58">
        <v>46080.654930555553</v>
      </c>
      <c r="B5" s="57" t="s">
        <v>195</v>
      </c>
      <c r="C5" s="57" t="s">
        <v>196</v>
      </c>
      <c r="D5" s="57" t="s">
        <v>147</v>
      </c>
      <c r="E5" s="57" t="s">
        <v>197</v>
      </c>
      <c r="F5" s="57" t="s">
        <v>198</v>
      </c>
      <c r="G5" s="57" t="s">
        <v>199</v>
      </c>
      <c r="H5" s="57" t="s">
        <v>200</v>
      </c>
      <c r="I5" s="57"/>
      <c r="J5" s="57" t="s">
        <v>201</v>
      </c>
      <c r="K5" s="100" t="str">
        <f>VLOOKUP(G5,Dataset!F:H,2,0)</f>
        <v>IISc Bangalore</v>
      </c>
      <c r="L5" s="100" t="s">
        <v>174</v>
      </c>
      <c r="M5" s="99" t="str">
        <f>VLOOKUP(G5,Dataset!F:H,3,0)</f>
        <v>TG 3 Design and Demonstration of a Highly Scalable Quantum Computer using Semiconducting Qubits</v>
      </c>
      <c r="N5" s="99" t="s">
        <v>202</v>
      </c>
      <c r="O5" s="167"/>
    </row>
    <row r="6" spans="1:16" ht="87.5" hidden="1">
      <c r="A6" s="58">
        <v>46082.976747685185</v>
      </c>
      <c r="B6" s="57" t="s">
        <v>203</v>
      </c>
      <c r="C6" s="57" t="s">
        <v>204</v>
      </c>
      <c r="D6" s="57" t="s">
        <v>147</v>
      </c>
      <c r="E6" s="57" t="s">
        <v>205</v>
      </c>
      <c r="F6" s="57" t="s">
        <v>206</v>
      </c>
      <c r="G6" s="57" t="s">
        <v>207</v>
      </c>
      <c r="H6" s="57" t="s">
        <v>151</v>
      </c>
      <c r="I6" s="57"/>
      <c r="J6" s="57" t="s">
        <v>208</v>
      </c>
      <c r="K6" s="100" t="e">
        <f>VLOOKUP(G6,Dataset!F:H,2,0)</f>
        <v>#N/A</v>
      </c>
      <c r="L6" s="100" t="s">
        <v>209</v>
      </c>
      <c r="M6" s="99" t="e">
        <f>VLOOKUP(G6,Dataset!F:H,3,0)</f>
        <v>#N/A</v>
      </c>
      <c r="N6" s="188" t="s">
        <v>210</v>
      </c>
      <c r="O6" s="76"/>
    </row>
    <row r="7" spans="1:16" s="113" customFormat="1" ht="37.5" hidden="1">
      <c r="A7" s="58">
        <v>46083.479560185187</v>
      </c>
      <c r="B7" s="57" t="s">
        <v>211</v>
      </c>
      <c r="C7" s="57" t="s">
        <v>212</v>
      </c>
      <c r="D7" s="57" t="s">
        <v>147</v>
      </c>
      <c r="E7" s="57" t="s">
        <v>213</v>
      </c>
      <c r="F7" s="57" t="s">
        <v>214</v>
      </c>
      <c r="G7" s="57" t="s">
        <v>215</v>
      </c>
      <c r="H7" s="57" t="s">
        <v>164</v>
      </c>
      <c r="I7" s="57"/>
      <c r="J7" s="57" t="s">
        <v>216</v>
      </c>
      <c r="K7" s="100" t="e">
        <f>VLOOKUP(G7,Dataset!F:H,2,0)</f>
        <v>#N/A</v>
      </c>
      <c r="L7" s="100" t="s">
        <v>209</v>
      </c>
      <c r="M7" s="99" t="e">
        <f>VLOOKUP(G7,Dataset!F:H,3,0)</f>
        <v>#N/A</v>
      </c>
      <c r="N7" s="295" t="s">
        <v>217</v>
      </c>
      <c r="O7" s="76"/>
    </row>
    <row r="8" spans="1:16" s="113" customFormat="1" ht="25" hidden="1">
      <c r="A8" s="58">
        <v>46084.819814814815</v>
      </c>
      <c r="B8" s="57" t="s">
        <v>224</v>
      </c>
      <c r="C8" s="57" t="s">
        <v>225</v>
      </c>
      <c r="D8" s="57" t="s">
        <v>178</v>
      </c>
      <c r="E8" s="57"/>
      <c r="F8" s="57" t="s">
        <v>231</v>
      </c>
      <c r="G8" s="57" t="s">
        <v>227</v>
      </c>
      <c r="H8" s="57" t="s">
        <v>228</v>
      </c>
      <c r="I8" s="57" t="s">
        <v>232</v>
      </c>
      <c r="J8" s="57" t="s">
        <v>136</v>
      </c>
      <c r="K8" s="100" t="str">
        <f>VLOOKUP(G8,Dataset!F:H,2,0)</f>
        <v>IISc Bangalore</v>
      </c>
      <c r="L8" s="100" t="s">
        <v>174</v>
      </c>
      <c r="M8" s="99" t="str">
        <f>VLOOKUP(G8,Dataset!F:H,3,0)</f>
        <v>QuILA</v>
      </c>
      <c r="N8" s="100" t="s">
        <v>230</v>
      </c>
      <c r="O8" s="19"/>
    </row>
    <row r="9" spans="1:16" s="182" customFormat="1" ht="25" hidden="1">
      <c r="A9" s="58">
        <v>46085.454293981478</v>
      </c>
      <c r="B9" s="57" t="s">
        <v>233</v>
      </c>
      <c r="C9" s="57" t="s">
        <v>234</v>
      </c>
      <c r="D9" s="57" t="s">
        <v>147</v>
      </c>
      <c r="E9" s="57" t="s">
        <v>235</v>
      </c>
      <c r="F9" s="57" t="s">
        <v>236</v>
      </c>
      <c r="G9" s="57" t="s">
        <v>237</v>
      </c>
      <c r="H9" s="57" t="s">
        <v>164</v>
      </c>
      <c r="I9" s="57"/>
      <c r="J9" s="57" t="s">
        <v>143</v>
      </c>
      <c r="K9" s="100" t="str">
        <f>VLOOKUP(G9,Dataset!F:H,2,0)</f>
        <v>IIT Bombay</v>
      </c>
      <c r="L9" s="100" t="s">
        <v>144</v>
      </c>
      <c r="M9" s="99" t="str">
        <f>VLOOKUP(G9,Dataset!F:H,3,0)</f>
        <v>TG 3 Kasturi Saha</v>
      </c>
      <c r="N9" s="100" t="s">
        <v>238</v>
      </c>
      <c r="O9" s="100"/>
      <c r="P9" s="181"/>
    </row>
    <row r="10" spans="1:16" s="103" customFormat="1" ht="25" hidden="1">
      <c r="A10" s="58">
        <v>46085.454467592594</v>
      </c>
      <c r="B10" s="57" t="s">
        <v>239</v>
      </c>
      <c r="C10" s="57" t="s">
        <v>240</v>
      </c>
      <c r="D10" s="57" t="s">
        <v>147</v>
      </c>
      <c r="E10" s="57" t="s">
        <v>241</v>
      </c>
      <c r="F10" s="57" t="s">
        <v>242</v>
      </c>
      <c r="G10" s="57" t="s">
        <v>243</v>
      </c>
      <c r="H10" s="57" t="s">
        <v>244</v>
      </c>
      <c r="I10" s="57"/>
      <c r="J10" s="57" t="s">
        <v>152</v>
      </c>
      <c r="K10" s="100" t="str">
        <f>VLOOKUP(G10,Dataset!F:H,2,0)</f>
        <v>IIT Bombay</v>
      </c>
      <c r="L10" s="100" t="s">
        <v>144</v>
      </c>
      <c r="M10" s="99" t="str">
        <f>VLOOKUP(G10,Dataset!F:H,3,0)</f>
        <v>TG 2 Saikat Ghosh</v>
      </c>
      <c r="N10" s="100" t="s">
        <v>245</v>
      </c>
      <c r="O10" s="100"/>
      <c r="P10" s="164"/>
    </row>
    <row r="11" spans="1:16" ht="25" hidden="1">
      <c r="A11" s="58">
        <v>46085.45453703704</v>
      </c>
      <c r="B11" s="57" t="s">
        <v>246</v>
      </c>
      <c r="C11" s="57" t="s">
        <v>247</v>
      </c>
      <c r="D11" s="57" t="s">
        <v>147</v>
      </c>
      <c r="E11" s="57" t="s">
        <v>248</v>
      </c>
      <c r="F11" s="57" t="s">
        <v>249</v>
      </c>
      <c r="G11" s="57" t="s">
        <v>250</v>
      </c>
      <c r="H11" s="57" t="s">
        <v>151</v>
      </c>
      <c r="I11" s="57"/>
      <c r="J11" s="57" t="s">
        <v>251</v>
      </c>
      <c r="K11" s="100" t="str">
        <f>VLOOKUP(G11,Dataset!F:H,2,0)</f>
        <v>IIT Bombay</v>
      </c>
      <c r="L11" s="100" t="s">
        <v>144</v>
      </c>
      <c r="M11" s="99" t="str">
        <f>VLOOKUP(G11,Dataset!F:H,3,0)</f>
        <v>TG 3 Kasturi Saha</v>
      </c>
      <c r="N11" s="100" t="s">
        <v>238</v>
      </c>
      <c r="O11" s="19"/>
    </row>
    <row r="12" spans="1:16" ht="25" hidden="1">
      <c r="A12" s="58">
        <v>46085.468634259261</v>
      </c>
      <c r="B12" s="57" t="s">
        <v>252</v>
      </c>
      <c r="C12" s="57" t="s">
        <v>253</v>
      </c>
      <c r="D12" s="57" t="s">
        <v>147</v>
      </c>
      <c r="E12" s="57" t="s">
        <v>254</v>
      </c>
      <c r="F12" s="57" t="s">
        <v>255</v>
      </c>
      <c r="G12" s="57" t="s">
        <v>256</v>
      </c>
      <c r="H12" s="57" t="s">
        <v>164</v>
      </c>
      <c r="I12" s="57"/>
      <c r="J12" s="57" t="s">
        <v>152</v>
      </c>
      <c r="K12" s="100" t="str">
        <f>VLOOKUP(G12,Dataset!F:H,2,0)</f>
        <v>IIT Bombay</v>
      </c>
      <c r="L12" s="100" t="s">
        <v>144</v>
      </c>
      <c r="M12" s="99" t="str">
        <f>VLOOKUP(G12,Dataset!F:H,3,0)</f>
        <v>TG 3 Kasturi Saha</v>
      </c>
      <c r="N12" s="19" t="s">
        <v>238</v>
      </c>
      <c r="O12" s="19"/>
    </row>
    <row r="13" spans="1:16" ht="25" hidden="1">
      <c r="A13" s="58">
        <v>46085.470995370371</v>
      </c>
      <c r="B13" s="57" t="s">
        <v>257</v>
      </c>
      <c r="C13" s="57" t="s">
        <v>258</v>
      </c>
      <c r="D13" s="57" t="s">
        <v>147</v>
      </c>
      <c r="E13" s="57" t="s">
        <v>259</v>
      </c>
      <c r="F13" s="57" t="s">
        <v>260</v>
      </c>
      <c r="G13" s="57" t="s">
        <v>261</v>
      </c>
      <c r="H13" s="57" t="s">
        <v>262</v>
      </c>
      <c r="I13" s="57"/>
      <c r="J13" s="57" t="s">
        <v>263</v>
      </c>
      <c r="K13" s="100" t="str">
        <f>VLOOKUP(G13,Dataset!F:H,2,0)</f>
        <v>IIT Bombay</v>
      </c>
      <c r="L13" s="100" t="s">
        <v>144</v>
      </c>
      <c r="M13" s="99" t="str">
        <f>VLOOKUP(G13,Dataset!F:H,3,0)</f>
        <v>TG 3 Kasturi Saha</v>
      </c>
      <c r="N13" s="19" t="s">
        <v>238</v>
      </c>
      <c r="O13" s="19"/>
    </row>
    <row r="14" spans="1:16" s="113" customFormat="1" ht="25" hidden="1">
      <c r="A14" s="58">
        <v>46085.490729166668</v>
      </c>
      <c r="B14" s="57" t="s">
        <v>264</v>
      </c>
      <c r="C14" s="57" t="s">
        <v>265</v>
      </c>
      <c r="D14" s="57" t="s">
        <v>147</v>
      </c>
      <c r="E14" s="57" t="s">
        <v>266</v>
      </c>
      <c r="F14" s="57" t="s">
        <v>267</v>
      </c>
      <c r="G14" s="57" t="s">
        <v>268</v>
      </c>
      <c r="H14" s="57" t="s">
        <v>151</v>
      </c>
      <c r="I14" s="57"/>
      <c r="J14" s="57" t="s">
        <v>269</v>
      </c>
      <c r="K14" s="100" t="str">
        <f>VLOOKUP(G14,Dataset!F:H,2,0)</f>
        <v>IIT Bombay</v>
      </c>
      <c r="L14" s="100" t="s">
        <v>144</v>
      </c>
      <c r="M14" s="99" t="str">
        <f>VLOOKUP(G14,Dataset!F:H,3,0)</f>
        <v>TG 1 Anand Jha</v>
      </c>
      <c r="N14" s="100" t="s">
        <v>270</v>
      </c>
      <c r="O14" s="19"/>
    </row>
    <row r="15" spans="1:16" s="108" customFormat="1" ht="25" hidden="1">
      <c r="A15" s="58">
        <v>46085.501886574071</v>
      </c>
      <c r="B15" s="57" t="s">
        <v>271</v>
      </c>
      <c r="C15" s="57" t="s">
        <v>272</v>
      </c>
      <c r="D15" s="57" t="s">
        <v>147</v>
      </c>
      <c r="E15" s="57" t="s">
        <v>142</v>
      </c>
      <c r="F15" s="57" t="s">
        <v>273</v>
      </c>
      <c r="G15" s="57" t="s">
        <v>274</v>
      </c>
      <c r="H15" s="57" t="s">
        <v>275</v>
      </c>
      <c r="I15" s="57"/>
      <c r="J15" s="57" t="s">
        <v>143</v>
      </c>
      <c r="K15" s="100" t="str">
        <f>VLOOKUP(G15,Dataset!F:H,2,0)</f>
        <v>IIT Bombay</v>
      </c>
      <c r="L15" s="100" t="s">
        <v>144</v>
      </c>
      <c r="M15" s="99" t="str">
        <f>VLOOKUP(G15,Dataset!F:H,3,0)</f>
        <v>TG 3 Kasturi Saha</v>
      </c>
      <c r="N15" s="100" t="s">
        <v>238</v>
      </c>
      <c r="O15" s="19"/>
    </row>
    <row r="16" spans="1:16" ht="25" hidden="1">
      <c r="A16" s="58">
        <v>46085.535613425927</v>
      </c>
      <c r="B16" s="57" t="s">
        <v>276</v>
      </c>
      <c r="C16" s="57" t="s">
        <v>277</v>
      </c>
      <c r="D16" s="57" t="s">
        <v>147</v>
      </c>
      <c r="E16" s="57" t="s">
        <v>278</v>
      </c>
      <c r="F16" s="57" t="s">
        <v>279</v>
      </c>
      <c r="G16" s="57" t="s">
        <v>280</v>
      </c>
      <c r="H16" s="57" t="s">
        <v>262</v>
      </c>
      <c r="I16" s="57"/>
      <c r="J16" s="57" t="s">
        <v>251</v>
      </c>
      <c r="K16" s="100" t="str">
        <f>VLOOKUP(G16,Dataset!F:H,2,0)</f>
        <v>IIT Bombay</v>
      </c>
      <c r="L16" s="100" t="s">
        <v>144</v>
      </c>
      <c r="M16" s="99" t="str">
        <f>VLOOKUP(G16,Dataset!F:H,3,0)</f>
        <v>TG 2 Saikat Ghosh</v>
      </c>
      <c r="N16" s="100" t="s">
        <v>245</v>
      </c>
      <c r="O16" s="19"/>
    </row>
    <row r="17" spans="1:16" ht="25" hidden="1">
      <c r="A17" s="58">
        <v>46085.623148148145</v>
      </c>
      <c r="B17" s="57" t="s">
        <v>286</v>
      </c>
      <c r="C17" s="57" t="s">
        <v>287</v>
      </c>
      <c r="D17" s="57" t="s">
        <v>147</v>
      </c>
      <c r="E17" s="57" t="s">
        <v>288</v>
      </c>
      <c r="F17" s="57" t="s">
        <v>289</v>
      </c>
      <c r="G17" s="57" t="s">
        <v>290</v>
      </c>
      <c r="H17" s="57" t="s">
        <v>151</v>
      </c>
      <c r="I17" s="57"/>
      <c r="J17" s="57" t="s">
        <v>291</v>
      </c>
      <c r="K17" s="100" t="str">
        <f>VLOOKUP(G17,Dataset!F:H,2,0)</f>
        <v>IIT Bombay</v>
      </c>
      <c r="L17" s="100" t="s">
        <v>144</v>
      </c>
      <c r="M17" s="99" t="str">
        <f>VLOOKUP(G17,Dataset!F:H,3,0)</f>
        <v>TG 2 Saikat Ghosh</v>
      </c>
      <c r="N17" s="100" t="s">
        <v>245</v>
      </c>
      <c r="O17" s="19"/>
    </row>
    <row r="18" spans="1:16" ht="25" hidden="1">
      <c r="A18" s="58">
        <v>46085.827638888892</v>
      </c>
      <c r="B18" s="57" t="s">
        <v>292</v>
      </c>
      <c r="C18" s="57" t="s">
        <v>293</v>
      </c>
      <c r="D18" s="57" t="s">
        <v>147</v>
      </c>
      <c r="E18" s="57" t="s">
        <v>266</v>
      </c>
      <c r="F18" s="57" t="s">
        <v>294</v>
      </c>
      <c r="G18" s="57" t="s">
        <v>295</v>
      </c>
      <c r="H18" s="57" t="s">
        <v>151</v>
      </c>
      <c r="I18" s="57"/>
      <c r="J18" s="57" t="s">
        <v>269</v>
      </c>
      <c r="K18" s="100" t="str">
        <f>VLOOKUP(G18,Dataset!F:H,2,0)</f>
        <v>IIT Madras</v>
      </c>
      <c r="L18" s="100" t="s">
        <v>137</v>
      </c>
      <c r="M18" s="99" t="str">
        <f>VLOOKUP(G18,Dataset!F:H,3,0)</f>
        <v>PIPETA: Post Quantum Cryptography</v>
      </c>
      <c r="N18" s="100" t="s">
        <v>296</v>
      </c>
      <c r="O18" s="19"/>
    </row>
    <row r="19" spans="1:16" ht="50" hidden="1">
      <c r="A19" s="58">
        <v>46085.828043981484</v>
      </c>
      <c r="B19" s="57" t="s">
        <v>297</v>
      </c>
      <c r="C19" s="57" t="s">
        <v>298</v>
      </c>
      <c r="D19" s="57" t="s">
        <v>147</v>
      </c>
      <c r="E19" s="57" t="s">
        <v>299</v>
      </c>
      <c r="F19" s="57" t="s">
        <v>300</v>
      </c>
      <c r="G19" s="57" t="s">
        <v>301</v>
      </c>
      <c r="H19" s="57" t="s">
        <v>151</v>
      </c>
      <c r="I19" s="57"/>
      <c r="J19" s="57" t="s">
        <v>182</v>
      </c>
      <c r="K19" s="100" t="str">
        <f>VLOOKUP(G19,Dataset!F:H,2,0)</f>
        <v>IIT Delhi</v>
      </c>
      <c r="L19" s="100" t="s">
        <v>209</v>
      </c>
      <c r="M19" s="99" t="str">
        <f>VLOOKUP(G19,Dataset!F:H,3,0)</f>
        <v>TG2: Wafer-scale Emitter and Detector Arrays for Multi-wavelength RoomTemperature Photonic Quantum Technologies</v>
      </c>
      <c r="N19" s="100" t="s">
        <v>302</v>
      </c>
      <c r="O19" s="19"/>
    </row>
    <row r="20" spans="1:16" ht="25" hidden="1">
      <c r="A20" s="58">
        <v>46085.875509259262</v>
      </c>
      <c r="B20" s="57" t="s">
        <v>316</v>
      </c>
      <c r="C20" s="57" t="s">
        <v>258</v>
      </c>
      <c r="D20" s="57" t="s">
        <v>147</v>
      </c>
      <c r="E20" s="57" t="s">
        <v>317</v>
      </c>
      <c r="F20" s="57" t="s">
        <v>318</v>
      </c>
      <c r="G20" s="57" t="s">
        <v>319</v>
      </c>
      <c r="H20" s="57" t="s">
        <v>164</v>
      </c>
      <c r="I20" s="57"/>
      <c r="J20" s="57" t="s">
        <v>269</v>
      </c>
      <c r="K20" s="100" t="str">
        <f>VLOOKUP(G20,Dataset!F:H,2,0)</f>
        <v>IIT Bombay</v>
      </c>
      <c r="L20" s="100" t="s">
        <v>144</v>
      </c>
      <c r="M20" s="99" t="str">
        <f>VLOOKUP(G20,Dataset!F:H,3,0)</f>
        <v>TG 2 Saikat Ghosh</v>
      </c>
      <c r="N20" s="100" t="s">
        <v>245</v>
      </c>
      <c r="O20" s="19"/>
    </row>
    <row r="21" spans="1:16" ht="50" hidden="1">
      <c r="A21" s="58">
        <v>46085.942835648151</v>
      </c>
      <c r="B21" s="57" t="s">
        <v>320</v>
      </c>
      <c r="C21" s="57" t="s">
        <v>321</v>
      </c>
      <c r="D21" s="57" t="s">
        <v>147</v>
      </c>
      <c r="E21" s="57" t="s">
        <v>322</v>
      </c>
      <c r="F21" s="57" t="s">
        <v>323</v>
      </c>
      <c r="G21" s="57" t="s">
        <v>324</v>
      </c>
      <c r="H21" s="57" t="s">
        <v>164</v>
      </c>
      <c r="I21" s="57"/>
      <c r="J21" s="57" t="s">
        <v>325</v>
      </c>
      <c r="K21" s="100" t="str">
        <f>VLOOKUP(G21,Dataset!F:H,2,0)</f>
        <v>IIT Bombay</v>
      </c>
      <c r="L21" s="100" t="s">
        <v>144</v>
      </c>
      <c r="M21" s="99" t="str">
        <f>VLOOKUP(G21,Dataset!F:H,3,0)</f>
        <v>TG 1 Anand Jha</v>
      </c>
      <c r="N21" s="100" t="s">
        <v>270</v>
      </c>
      <c r="O21" s="19"/>
    </row>
    <row r="22" spans="1:16" ht="25" hidden="1">
      <c r="A22" s="58">
        <v>46086.081909722219</v>
      </c>
      <c r="B22" s="57" t="s">
        <v>326</v>
      </c>
      <c r="C22" s="57" t="s">
        <v>327</v>
      </c>
      <c r="D22" s="57" t="s">
        <v>147</v>
      </c>
      <c r="E22" s="57" t="s">
        <v>328</v>
      </c>
      <c r="F22" s="57" t="s">
        <v>329</v>
      </c>
      <c r="G22" s="57" t="s">
        <v>330</v>
      </c>
      <c r="H22" s="57" t="s">
        <v>164</v>
      </c>
      <c r="I22" s="57"/>
      <c r="J22" s="57" t="s">
        <v>143</v>
      </c>
      <c r="K22" s="100" t="str">
        <f>VLOOKUP(G22,Dataset!F:H,2,0)</f>
        <v>IIT Bombay</v>
      </c>
      <c r="L22" s="100" t="s">
        <v>144</v>
      </c>
      <c r="M22" s="99" t="str">
        <f>VLOOKUP(G22,Dataset!F:H,3,0)</f>
        <v>TG 2 Saikat Ghosh</v>
      </c>
      <c r="N22" s="100" t="s">
        <v>245</v>
      </c>
      <c r="O22" s="19"/>
    </row>
    <row r="23" spans="1:16" ht="25" hidden="1">
      <c r="A23" s="58">
        <v>46086.679467592592</v>
      </c>
      <c r="B23" s="57" t="s">
        <v>358</v>
      </c>
      <c r="C23" s="57" t="s">
        <v>359</v>
      </c>
      <c r="D23" s="57" t="s">
        <v>147</v>
      </c>
      <c r="E23" s="57" t="s">
        <v>360</v>
      </c>
      <c r="F23" s="57" t="s">
        <v>361</v>
      </c>
      <c r="G23" s="57" t="s">
        <v>362</v>
      </c>
      <c r="H23" s="57" t="s">
        <v>151</v>
      </c>
      <c r="I23" s="57"/>
      <c r="J23" s="57" t="s">
        <v>363</v>
      </c>
      <c r="K23" s="100" t="str">
        <f>VLOOKUP(G23,Dataset!F:H,2,0)</f>
        <v>IIT Madras</v>
      </c>
      <c r="L23" s="100" t="s">
        <v>137</v>
      </c>
      <c r="M23" s="99" t="str">
        <f>VLOOKUP(G23,Dataset!F:H,3,0)</f>
        <v>TAHQEECAT</v>
      </c>
      <c r="N23" s="100" t="s">
        <v>364</v>
      </c>
      <c r="O23" s="19"/>
    </row>
    <row r="24" spans="1:16" ht="25" hidden="1">
      <c r="A24" s="58">
        <v>46087.507905092592</v>
      </c>
      <c r="B24" s="57" t="s">
        <v>377</v>
      </c>
      <c r="C24" s="57" t="s">
        <v>377</v>
      </c>
      <c r="D24" s="57" t="s">
        <v>147</v>
      </c>
      <c r="E24" s="57" t="s">
        <v>266</v>
      </c>
      <c r="F24" s="57" t="s">
        <v>378</v>
      </c>
      <c r="G24" s="57" t="s">
        <v>379</v>
      </c>
      <c r="H24" s="57" t="s">
        <v>151</v>
      </c>
      <c r="I24" s="57"/>
      <c r="J24" s="57" t="s">
        <v>269</v>
      </c>
      <c r="K24" s="100" t="str">
        <f>VLOOKUP(G24,Dataset!F:H,2,0)</f>
        <v>IIT Bombay</v>
      </c>
      <c r="L24" s="100" t="s">
        <v>144</v>
      </c>
      <c r="M24" s="99" t="str">
        <f>VLOOKUP(G24,Dataset!F:H,3,0)</f>
        <v>TG 2 Saikat Ghosh</v>
      </c>
      <c r="N24" s="100" t="s">
        <v>245</v>
      </c>
      <c r="O24" s="19"/>
    </row>
    <row r="25" spans="1:16" s="113" customFormat="1" ht="50" hidden="1">
      <c r="A25" s="58">
        <v>46087.643900462965</v>
      </c>
      <c r="B25" s="57" t="s">
        <v>380</v>
      </c>
      <c r="C25" s="57" t="s">
        <v>381</v>
      </c>
      <c r="D25" s="57" t="s">
        <v>147</v>
      </c>
      <c r="E25" s="57" t="s">
        <v>382</v>
      </c>
      <c r="F25" s="57" t="s">
        <v>383</v>
      </c>
      <c r="G25" s="57" t="s">
        <v>384</v>
      </c>
      <c r="H25" s="57" t="s">
        <v>164</v>
      </c>
      <c r="I25" s="57"/>
      <c r="J25" s="57" t="s">
        <v>158</v>
      </c>
      <c r="K25" s="100" t="str">
        <f>VLOOKUP(G25,Dataset!F:H,2,0)</f>
        <v>IISc Bangalore</v>
      </c>
      <c r="L25" s="100" t="s">
        <v>174</v>
      </c>
      <c r="M25" s="99" t="str">
        <f>VLOOKUP(G25,Dataset!F:H,3,0)</f>
        <v>TG 3 Design and Demonstration of a Highly Scalable Quantum Computer using Semiconducting Qubits</v>
      </c>
      <c r="N25" s="252" t="s">
        <v>202</v>
      </c>
      <c r="O25" s="19"/>
    </row>
    <row r="26" spans="1:16" s="113" customFormat="1" ht="25" hidden="1">
      <c r="A26" s="58">
        <v>46087.817210648151</v>
      </c>
      <c r="B26" s="57" t="s">
        <v>385</v>
      </c>
      <c r="C26" s="57" t="s">
        <v>386</v>
      </c>
      <c r="D26" s="57" t="s">
        <v>147</v>
      </c>
      <c r="E26" s="57" t="s">
        <v>387</v>
      </c>
      <c r="F26" s="57" t="s">
        <v>388</v>
      </c>
      <c r="G26" s="57" t="s">
        <v>389</v>
      </c>
      <c r="H26" s="57" t="s">
        <v>151</v>
      </c>
      <c r="I26" s="57"/>
      <c r="J26" s="57" t="s">
        <v>390</v>
      </c>
      <c r="K26" s="100" t="str">
        <f>VLOOKUP(G26,Dataset!F:H,2,0)</f>
        <v>IIT Bombay</v>
      </c>
      <c r="L26" s="100" t="s">
        <v>144</v>
      </c>
      <c r="M26" s="99" t="str">
        <f>VLOOKUP(G26,Dataset!F:H,3,0)</f>
        <v>TG 1 Anand Jha</v>
      </c>
      <c r="N26" s="252" t="s">
        <v>270</v>
      </c>
      <c r="O26" s="19"/>
    </row>
    <row r="27" spans="1:16" ht="25" hidden="1">
      <c r="A27" s="58">
        <v>46087.954502314817</v>
      </c>
      <c r="B27" s="57" t="s">
        <v>391</v>
      </c>
      <c r="C27" s="57" t="s">
        <v>392</v>
      </c>
      <c r="D27" s="57" t="s">
        <v>147</v>
      </c>
      <c r="E27" s="57" t="s">
        <v>137</v>
      </c>
      <c r="F27" s="57" t="s">
        <v>393</v>
      </c>
      <c r="G27" s="57" t="s">
        <v>394</v>
      </c>
      <c r="H27" s="57" t="s">
        <v>395</v>
      </c>
      <c r="I27" s="57"/>
      <c r="J27" s="57" t="s">
        <v>136</v>
      </c>
      <c r="K27" s="100" t="str">
        <f>VLOOKUP(G27,Dataset!F:H,2,0)</f>
        <v>IIT Bombay</v>
      </c>
      <c r="L27" s="100" t="s">
        <v>144</v>
      </c>
      <c r="M27" s="99" t="str">
        <f>VLOOKUP(G27,Dataset!F:H,3,0)</f>
        <v>TG 3 Kasturi Saha</v>
      </c>
      <c r="N27" s="100" t="s">
        <v>238</v>
      </c>
      <c r="O27" s="19"/>
    </row>
    <row r="28" spans="1:16" ht="25" hidden="1">
      <c r="A28" s="58">
        <v>46091.266840277778</v>
      </c>
      <c r="B28" s="57" t="s">
        <v>396</v>
      </c>
      <c r="C28" s="57" t="s">
        <v>397</v>
      </c>
      <c r="D28" s="57" t="s">
        <v>147</v>
      </c>
      <c r="E28" s="57" t="s">
        <v>209</v>
      </c>
      <c r="F28" s="57" t="s">
        <v>398</v>
      </c>
      <c r="G28" s="57" t="s">
        <v>399</v>
      </c>
      <c r="H28" s="57" t="s">
        <v>164</v>
      </c>
      <c r="I28" s="57"/>
      <c r="J28" s="57" t="s">
        <v>223</v>
      </c>
      <c r="K28" s="100" t="str">
        <f>VLOOKUP(G28,Dataset!F:H,2,0)</f>
        <v>IIT Madras</v>
      </c>
      <c r="L28" s="100" t="s">
        <v>137</v>
      </c>
      <c r="M28" s="99" t="str">
        <f>VLOOKUP(G28,Dataset!F:H,3,0)</f>
        <v>TAHQEECAT</v>
      </c>
      <c r="N28" s="100" t="s">
        <v>364</v>
      </c>
      <c r="O28" s="19"/>
    </row>
    <row r="29" spans="1:16" ht="37.5" hidden="1">
      <c r="A29" s="58">
        <v>46091.285081018519</v>
      </c>
      <c r="B29" s="57" t="s">
        <v>404</v>
      </c>
      <c r="C29" s="57" t="s">
        <v>405</v>
      </c>
      <c r="D29" s="57" t="s">
        <v>147</v>
      </c>
      <c r="E29" s="57" t="s">
        <v>406</v>
      </c>
      <c r="F29" s="57" t="s">
        <v>407</v>
      </c>
      <c r="G29" s="57" t="s">
        <v>70</v>
      </c>
      <c r="H29" s="57" t="s">
        <v>262</v>
      </c>
      <c r="I29" s="57"/>
      <c r="J29" s="57" t="s">
        <v>182</v>
      </c>
      <c r="K29" s="100" t="str">
        <f>VLOOKUP(G29,Dataset!F:H,2,0)</f>
        <v>IISc Bangalore</v>
      </c>
      <c r="L29" s="100" t="s">
        <v>174</v>
      </c>
      <c r="M29" s="99" t="str">
        <f>VLOOKUP(G29,Dataset!F:H,3,0)</f>
        <v>TG 6 Quantum Computing with Neutral Atoms, Trapped Ions and Related Hybrid Systems</v>
      </c>
      <c r="N29" s="100" t="s">
        <v>408</v>
      </c>
      <c r="O29" s="19"/>
    </row>
    <row r="30" spans="1:16" s="103" customFormat="1" ht="25" hidden="1">
      <c r="A30" s="58">
        <v>46091.313101851854</v>
      </c>
      <c r="B30" s="57" t="s">
        <v>409</v>
      </c>
      <c r="C30" s="57" t="s">
        <v>410</v>
      </c>
      <c r="D30" s="57" t="s">
        <v>147</v>
      </c>
      <c r="E30" s="57" t="s">
        <v>411</v>
      </c>
      <c r="F30" s="57" t="s">
        <v>412</v>
      </c>
      <c r="G30" s="57" t="s">
        <v>413</v>
      </c>
      <c r="H30" s="57" t="s">
        <v>262</v>
      </c>
      <c r="I30" s="57"/>
      <c r="J30" s="57" t="s">
        <v>201</v>
      </c>
      <c r="K30" s="100" t="str">
        <f>VLOOKUP(G30,Dataset!F:H,2,0)</f>
        <v>IIT Bombay</v>
      </c>
      <c r="L30" s="100" t="s">
        <v>144</v>
      </c>
      <c r="M30" s="99" t="str">
        <f>VLOOKUP(G30,Dataset!F:H,3,0)</f>
        <v>TG 2 Saikat Ghosh</v>
      </c>
      <c r="N30" s="100" t="s">
        <v>245</v>
      </c>
      <c r="O30" s="100"/>
      <c r="P30" s="164"/>
    </row>
    <row r="31" spans="1:16" s="103" customFormat="1" ht="25" hidden="1">
      <c r="A31" s="58">
        <v>46091.31894675926</v>
      </c>
      <c r="B31" s="57" t="s">
        <v>414</v>
      </c>
      <c r="C31" s="57" t="s">
        <v>415</v>
      </c>
      <c r="D31" s="57" t="s">
        <v>147</v>
      </c>
      <c r="E31" s="57" t="s">
        <v>416</v>
      </c>
      <c r="F31" s="57" t="s">
        <v>417</v>
      </c>
      <c r="G31" s="57" t="s">
        <v>418</v>
      </c>
      <c r="H31" s="57" t="s">
        <v>419</v>
      </c>
      <c r="I31" s="57"/>
      <c r="J31" s="57" t="s">
        <v>173</v>
      </c>
      <c r="K31" s="100" t="str">
        <f>VLOOKUP(G31,Dataset!F:H,2,0)</f>
        <v>IIT Madras</v>
      </c>
      <c r="L31" s="100" t="s">
        <v>137</v>
      </c>
      <c r="M31" s="99" t="str">
        <f>VLOOKUP(G31,Dataset!F:H,3,0)</f>
        <v>QuePRAN</v>
      </c>
      <c r="N31" s="100" t="s">
        <v>420</v>
      </c>
      <c r="O31" s="100"/>
      <c r="P31" s="164"/>
    </row>
    <row r="32" spans="1:16" ht="25" hidden="1">
      <c r="A32" s="58">
        <v>46091.346273148149</v>
      </c>
      <c r="B32" s="57" t="s">
        <v>421</v>
      </c>
      <c r="C32" s="57" t="s">
        <v>422</v>
      </c>
      <c r="D32" s="57" t="s">
        <v>147</v>
      </c>
      <c r="E32" s="57" t="s">
        <v>137</v>
      </c>
      <c r="F32" s="57" t="s">
        <v>423</v>
      </c>
      <c r="G32" s="57" t="s">
        <v>424</v>
      </c>
      <c r="H32" s="57" t="s">
        <v>262</v>
      </c>
      <c r="I32" s="57"/>
      <c r="J32" s="57" t="s">
        <v>136</v>
      </c>
      <c r="K32" s="100" t="str">
        <f>VLOOKUP(G32,Dataset!F:H,2,0)</f>
        <v>IIT Madras</v>
      </c>
      <c r="L32" s="100" t="s">
        <v>137</v>
      </c>
      <c r="M32" s="99" t="str">
        <f>VLOOKUP(G32,Dataset!F:H,3,0)</f>
        <v>QuILA</v>
      </c>
      <c r="N32" s="100" t="s">
        <v>230</v>
      </c>
      <c r="O32" s="19"/>
    </row>
    <row r="33" spans="1:16" ht="25" hidden="1">
      <c r="A33" s="58">
        <v>46091.358946759261</v>
      </c>
      <c r="B33" s="57" t="s">
        <v>425</v>
      </c>
      <c r="C33" s="57" t="s">
        <v>426</v>
      </c>
      <c r="D33" s="57" t="s">
        <v>147</v>
      </c>
      <c r="E33" s="57" t="s">
        <v>427</v>
      </c>
      <c r="F33" s="57" t="s">
        <v>428</v>
      </c>
      <c r="G33" s="57" t="s">
        <v>429</v>
      </c>
      <c r="H33" s="57" t="s">
        <v>430</v>
      </c>
      <c r="I33" s="57"/>
      <c r="J33" s="57" t="s">
        <v>263</v>
      </c>
      <c r="K33" s="100" t="str">
        <f>VLOOKUP(G33,Dataset!F:H,2,0)</f>
        <v>IIT Madras</v>
      </c>
      <c r="L33" s="100" t="s">
        <v>137</v>
      </c>
      <c r="M33" s="99" t="str">
        <f>VLOOKUP(G33,Dataset!F:H,3,0)</f>
        <v>QuILA</v>
      </c>
      <c r="N33" s="100" t="s">
        <v>230</v>
      </c>
      <c r="O33" s="19"/>
    </row>
    <row r="34" spans="1:16" ht="37.5" hidden="1">
      <c r="A34" s="58">
        <v>46091.384687500002</v>
      </c>
      <c r="B34" s="57" t="s">
        <v>435</v>
      </c>
      <c r="C34" s="57" t="s">
        <v>436</v>
      </c>
      <c r="D34" s="57" t="s">
        <v>178</v>
      </c>
      <c r="E34" s="57"/>
      <c r="F34" s="57" t="s">
        <v>437</v>
      </c>
      <c r="G34" s="57" t="s">
        <v>438</v>
      </c>
      <c r="H34" s="57" t="s">
        <v>439</v>
      </c>
      <c r="I34" s="57" t="s">
        <v>440</v>
      </c>
      <c r="J34" s="57" t="s">
        <v>158</v>
      </c>
      <c r="K34" s="100" t="str">
        <f>VLOOKUP(G34,Dataset!F:H,2,0)</f>
        <v>IIT Madras</v>
      </c>
      <c r="L34" s="100" t="s">
        <v>137</v>
      </c>
      <c r="M34" s="99" t="str">
        <f>VLOOKUP(G34,Dataset!F:H,3,0)</f>
        <v>PIPETA: Post Quantum Cryptography</v>
      </c>
      <c r="N34" s="100" t="s">
        <v>296</v>
      </c>
      <c r="O34" s="19"/>
    </row>
    <row r="35" spans="1:16" s="103" customFormat="1" ht="26" hidden="1">
      <c r="A35" s="58">
        <v>46091.389525462961</v>
      </c>
      <c r="B35" s="57" t="s">
        <v>441</v>
      </c>
      <c r="C35" s="57" t="s">
        <v>442</v>
      </c>
      <c r="D35" s="57" t="s">
        <v>147</v>
      </c>
      <c r="E35" s="57" t="s">
        <v>443</v>
      </c>
      <c r="F35" s="57" t="s">
        <v>444</v>
      </c>
      <c r="G35" s="57" t="s">
        <v>445</v>
      </c>
      <c r="H35" s="57" t="s">
        <v>151</v>
      </c>
      <c r="I35" s="57"/>
      <c r="J35" s="57" t="s">
        <v>208</v>
      </c>
      <c r="K35" s="100" t="e">
        <f>VLOOKUP(G35,Dataset!F:H,2,0)</f>
        <v>#N/A</v>
      </c>
      <c r="L35" s="100" t="s">
        <v>137</v>
      </c>
      <c r="M35" s="99" t="e">
        <f>VLOOKUP(G35,Dataset!F:H,3,0)</f>
        <v>#N/A</v>
      </c>
      <c r="N35" s="251" t="s">
        <v>296</v>
      </c>
      <c r="O35" s="251"/>
      <c r="P35" s="164"/>
    </row>
    <row r="36" spans="1:16" s="103" customFormat="1" ht="25" hidden="1">
      <c r="A36" s="58">
        <v>46091.412175925929</v>
      </c>
      <c r="B36" s="57" t="s">
        <v>446</v>
      </c>
      <c r="C36" s="57" t="s">
        <v>447</v>
      </c>
      <c r="D36" s="57" t="s">
        <v>147</v>
      </c>
      <c r="E36" s="57" t="s">
        <v>448</v>
      </c>
      <c r="F36" s="57" t="s">
        <v>449</v>
      </c>
      <c r="G36" s="57" t="s">
        <v>450</v>
      </c>
      <c r="H36" s="57" t="s">
        <v>451</v>
      </c>
      <c r="I36" s="57"/>
      <c r="J36" s="57" t="s">
        <v>201</v>
      </c>
      <c r="K36" s="100" t="str">
        <f>VLOOKUP(G36,Dataset!F:H,2,0)</f>
        <v>IIT Bombay</v>
      </c>
      <c r="L36" s="100" t="s">
        <v>144</v>
      </c>
      <c r="M36" s="99" t="str">
        <f>VLOOKUP(G36,Dataset!F:H,3,0)</f>
        <v>TG 2 Saikat Ghosh</v>
      </c>
      <c r="N36" s="100" t="s">
        <v>245</v>
      </c>
      <c r="O36" s="100"/>
      <c r="P36" s="164"/>
    </row>
    <row r="37" spans="1:16" s="103" customFormat="1" ht="87.5" hidden="1">
      <c r="A37" s="58">
        <v>46091.415659722225</v>
      </c>
      <c r="B37" s="57" t="s">
        <v>452</v>
      </c>
      <c r="C37" s="57" t="s">
        <v>453</v>
      </c>
      <c r="D37" s="57" t="s">
        <v>147</v>
      </c>
      <c r="E37" s="57" t="s">
        <v>144</v>
      </c>
      <c r="F37" s="57" t="s">
        <v>454</v>
      </c>
      <c r="G37" s="57" t="s">
        <v>455</v>
      </c>
      <c r="H37" s="57" t="s">
        <v>262</v>
      </c>
      <c r="I37" s="57"/>
      <c r="J37" s="57" t="s">
        <v>143</v>
      </c>
      <c r="K37" s="100" t="e">
        <f>VLOOKUP(G37,Dataset!F:H,2,0)</f>
        <v>#N/A</v>
      </c>
      <c r="L37" s="100" t="s">
        <v>209</v>
      </c>
      <c r="M37" s="99" t="e">
        <f>VLOOKUP(G37,Dataset!F:H,3,0)</f>
        <v>#N/A</v>
      </c>
      <c r="N37" s="259" t="s">
        <v>302</v>
      </c>
      <c r="O37" s="259"/>
      <c r="P37" s="164"/>
    </row>
    <row r="38" spans="1:16" s="103" customFormat="1" ht="25" hidden="1">
      <c r="A38" s="58">
        <v>46091.416620370372</v>
      </c>
      <c r="B38" s="57" t="s">
        <v>456</v>
      </c>
      <c r="C38" s="57" t="s">
        <v>457</v>
      </c>
      <c r="D38" s="57" t="s">
        <v>147</v>
      </c>
      <c r="E38" s="57" t="s">
        <v>458</v>
      </c>
      <c r="F38" s="57" t="s">
        <v>459</v>
      </c>
      <c r="G38" s="57" t="s">
        <v>460</v>
      </c>
      <c r="H38" s="57" t="s">
        <v>262</v>
      </c>
      <c r="I38" s="57"/>
      <c r="J38" s="57" t="s">
        <v>136</v>
      </c>
      <c r="K38" s="100" t="str">
        <f>VLOOKUP(G38,Dataset!F:H,2,0)</f>
        <v>IISc Bangalore</v>
      </c>
      <c r="L38" s="100" t="s">
        <v>174</v>
      </c>
      <c r="M38" s="99" t="str">
        <f>VLOOKUP(G38,Dataset!F:H,3,0)</f>
        <v>TG 5 Quantum computers with Superconducting Qubits</v>
      </c>
      <c r="N38" s="100" t="s">
        <v>461</v>
      </c>
      <c r="O38" s="100"/>
      <c r="P38" s="164"/>
    </row>
    <row r="39" spans="1:16" s="103" customFormat="1" ht="25" hidden="1">
      <c r="A39" s="58">
        <v>46091.443518518521</v>
      </c>
      <c r="B39" s="57" t="s">
        <v>473</v>
      </c>
      <c r="C39" s="57" t="s">
        <v>474</v>
      </c>
      <c r="D39" s="57" t="s">
        <v>147</v>
      </c>
      <c r="E39" s="57" t="s">
        <v>475</v>
      </c>
      <c r="F39" s="57" t="s">
        <v>476</v>
      </c>
      <c r="G39" s="57" t="s">
        <v>477</v>
      </c>
      <c r="H39" s="57" t="s">
        <v>262</v>
      </c>
      <c r="I39" s="57"/>
      <c r="J39" s="57" t="s">
        <v>208</v>
      </c>
      <c r="K39" s="100" t="str">
        <f>VLOOKUP(G39,Dataset!F:H,2,0)</f>
        <v>IIT Delhi</v>
      </c>
      <c r="L39" s="100" t="s">
        <v>209</v>
      </c>
      <c r="M39" s="99" t="str">
        <f>VLOOKUP(G39,Dataset!F:H,3,0)</f>
        <v>TG3:WaveguideandIntegratedQuantumPhotonics</v>
      </c>
      <c r="N39" s="100" t="s">
        <v>217</v>
      </c>
      <c r="O39" s="100"/>
      <c r="P39" s="164"/>
    </row>
    <row r="40" spans="1:16" ht="25" hidden="1">
      <c r="A40" s="58">
        <v>46091.447025462963</v>
      </c>
      <c r="B40" s="57" t="s">
        <v>478</v>
      </c>
      <c r="C40" s="57" t="s">
        <v>372</v>
      </c>
      <c r="D40" s="57" t="s">
        <v>147</v>
      </c>
      <c r="E40" s="57" t="s">
        <v>259</v>
      </c>
      <c r="F40" s="57" t="s">
        <v>479</v>
      </c>
      <c r="G40" s="57" t="s">
        <v>480</v>
      </c>
      <c r="H40" s="57" t="s">
        <v>262</v>
      </c>
      <c r="I40" s="57"/>
      <c r="J40" s="57" t="s">
        <v>263</v>
      </c>
      <c r="K40" s="100" t="str">
        <f>VLOOKUP(G40,Dataset!F:H,2,0)</f>
        <v>IIT Bombay</v>
      </c>
      <c r="L40" s="100" t="s">
        <v>144</v>
      </c>
      <c r="M40" s="99" t="str">
        <f>VLOOKUP(G40,Dataset!F:H,3,0)</f>
        <v>TG 2 Saikat Ghosh</v>
      </c>
      <c r="N40" s="100" t="s">
        <v>245</v>
      </c>
      <c r="O40" s="19"/>
    </row>
    <row r="41" spans="1:16" s="103" customFormat="1" ht="37.5" hidden="1">
      <c r="A41" s="58">
        <v>46091.454375000001</v>
      </c>
      <c r="B41" s="57" t="s">
        <v>481</v>
      </c>
      <c r="C41" s="57" t="s">
        <v>482</v>
      </c>
      <c r="D41" s="57" t="s">
        <v>147</v>
      </c>
      <c r="E41" s="57" t="s">
        <v>483</v>
      </c>
      <c r="F41" s="57" t="s">
        <v>484</v>
      </c>
      <c r="G41" s="57" t="s">
        <v>485</v>
      </c>
      <c r="H41" s="57" t="s">
        <v>151</v>
      </c>
      <c r="I41" s="57"/>
      <c r="J41" s="57" t="s">
        <v>143</v>
      </c>
      <c r="K41" s="100" t="str">
        <f>VLOOKUP(G41,Dataset!F:H,2,0)</f>
        <v>IISc Bangalore</v>
      </c>
      <c r="L41" s="100" t="s">
        <v>174</v>
      </c>
      <c r="M41" s="99" t="str">
        <f>VLOOKUP(G41,Dataset!F:H,3,0)</f>
        <v>TG 4 Development of a 50-qubit quantum information processor with electron spins in silicon</v>
      </c>
      <c r="N41" s="100" t="s">
        <v>486</v>
      </c>
      <c r="O41" s="100"/>
      <c r="P41" s="164"/>
    </row>
    <row r="42" spans="1:16" s="113" customFormat="1" ht="25" hidden="1">
      <c r="A42" s="58">
        <v>46091.493252314816</v>
      </c>
      <c r="B42" s="57" t="s">
        <v>492</v>
      </c>
      <c r="C42" s="57" t="s">
        <v>493</v>
      </c>
      <c r="D42" s="57" t="s">
        <v>147</v>
      </c>
      <c r="E42" s="57" t="s">
        <v>259</v>
      </c>
      <c r="F42" s="57" t="s">
        <v>494</v>
      </c>
      <c r="G42" s="57" t="s">
        <v>495</v>
      </c>
      <c r="H42" s="57" t="s">
        <v>262</v>
      </c>
      <c r="I42" s="57"/>
      <c r="J42" s="57" t="s">
        <v>263</v>
      </c>
      <c r="K42" s="100" t="str">
        <f>VLOOKUP(G42,Dataset!F:H,2,0)</f>
        <v>IIT Bombay</v>
      </c>
      <c r="L42" s="100" t="s">
        <v>144</v>
      </c>
      <c r="M42" s="99" t="str">
        <f>VLOOKUP(G42,Dataset!F:H,3,0)</f>
        <v>TG 2 Saikat Ghosh</v>
      </c>
      <c r="N42" s="100" t="s">
        <v>245</v>
      </c>
      <c r="O42" s="19"/>
    </row>
    <row r="43" spans="1:16" ht="65" hidden="1">
      <c r="A43" s="58">
        <v>46091.587094907409</v>
      </c>
      <c r="B43" s="57" t="s">
        <v>501</v>
      </c>
      <c r="C43" s="57" t="s">
        <v>502</v>
      </c>
      <c r="D43" s="57" t="s">
        <v>147</v>
      </c>
      <c r="E43" s="57" t="s">
        <v>503</v>
      </c>
      <c r="F43" s="57" t="s">
        <v>504</v>
      </c>
      <c r="G43" s="57" t="s">
        <v>505</v>
      </c>
      <c r="H43" s="57" t="s">
        <v>262</v>
      </c>
      <c r="I43" s="57"/>
      <c r="J43" s="57" t="s">
        <v>223</v>
      </c>
      <c r="K43" s="100" t="e">
        <f>VLOOKUP(G43,Dataset!F:H,2,0)</f>
        <v>#N/A</v>
      </c>
      <c r="L43" s="100" t="s">
        <v>506</v>
      </c>
      <c r="M43" s="99" t="e">
        <f>VLOOKUP(G43,Dataset!F:H,3,0)</f>
        <v>#N/A</v>
      </c>
      <c r="N43" s="258" t="s">
        <v>486</v>
      </c>
      <c r="O43" s="97"/>
    </row>
    <row r="44" spans="1:16" ht="37.5" hidden="1">
      <c r="A44" s="58">
        <v>46091.659942129627</v>
      </c>
      <c r="B44" s="57" t="s">
        <v>508</v>
      </c>
      <c r="C44" s="57" t="s">
        <v>509</v>
      </c>
      <c r="D44" s="57" t="s">
        <v>147</v>
      </c>
      <c r="E44" s="57" t="s">
        <v>510</v>
      </c>
      <c r="F44" s="57" t="s">
        <v>511</v>
      </c>
      <c r="G44" s="57" t="s">
        <v>512</v>
      </c>
      <c r="H44" s="57" t="s">
        <v>164</v>
      </c>
      <c r="I44" s="57"/>
      <c r="J44" s="57" t="s">
        <v>513</v>
      </c>
      <c r="K44" s="100" t="str">
        <f>VLOOKUP(G44,Dataset!F:H,2,0)</f>
        <v>IISc Bangalore</v>
      </c>
      <c r="L44" s="100" t="str">
        <f>K44</f>
        <v>IISc Bangalore</v>
      </c>
      <c r="M44" s="99" t="str">
        <f>VLOOKUP(G44,Dataset!F:H,3,0)</f>
        <v>TG 4 Development of a 50-qubit quantum information processor with electron spins in silicon</v>
      </c>
      <c r="N44" s="100" t="str">
        <f>M44</f>
        <v>TG 4 Development of a 50-qubit quantum information processor with electron spins in silicon</v>
      </c>
      <c r="O44" s="19"/>
    </row>
    <row r="45" spans="1:16" ht="13" hidden="1">
      <c r="A45" s="58">
        <v>46091.662245370368</v>
      </c>
      <c r="B45" s="57" t="s">
        <v>514</v>
      </c>
      <c r="C45" s="57" t="s">
        <v>515</v>
      </c>
      <c r="D45" s="57" t="s">
        <v>178</v>
      </c>
      <c r="E45" s="57"/>
      <c r="F45" s="57" t="s">
        <v>516</v>
      </c>
      <c r="G45" s="57" t="s">
        <v>517</v>
      </c>
      <c r="H45" s="57" t="s">
        <v>518</v>
      </c>
      <c r="I45" s="57" t="s">
        <v>519</v>
      </c>
      <c r="J45" s="57" t="s">
        <v>520</v>
      </c>
      <c r="K45" s="100" t="e">
        <f>VLOOKUP(G45,Dataset!F:H,2,0)</f>
        <v>#N/A</v>
      </c>
      <c r="L45" s="100" t="s">
        <v>137</v>
      </c>
      <c r="M45" s="99" t="e">
        <f>VLOOKUP(G45,Dataset!F:H,3,0)</f>
        <v>#N/A</v>
      </c>
      <c r="N45" s="258" t="s">
        <v>521</v>
      </c>
      <c r="O45" s="97"/>
    </row>
    <row r="46" spans="1:16" ht="50" hidden="1">
      <c r="A46" s="58">
        <v>46091.701793981483</v>
      </c>
      <c r="B46" s="57" t="s">
        <v>522</v>
      </c>
      <c r="C46" s="57" t="s">
        <v>523</v>
      </c>
      <c r="D46" s="57" t="s">
        <v>147</v>
      </c>
      <c r="E46" s="57" t="s">
        <v>266</v>
      </c>
      <c r="F46" s="57" t="s">
        <v>524</v>
      </c>
      <c r="G46" s="57" t="s">
        <v>525</v>
      </c>
      <c r="H46" s="57" t="s">
        <v>151</v>
      </c>
      <c r="I46" s="57"/>
      <c r="J46" s="57" t="s">
        <v>269</v>
      </c>
      <c r="K46" s="100" t="str">
        <f>VLOOKUP(G46,Dataset!F:H,2,0)</f>
        <v>IISc Bangalore</v>
      </c>
      <c r="L46" s="100" t="str">
        <f>K46</f>
        <v>IISc Bangalore</v>
      </c>
      <c r="M46" s="99" t="str">
        <f>VLOOKUP(G46,Dataset!F:H,3,0)</f>
        <v>TG 3 Design and Demonstration of a Highly Scalable Quantum Computer using Semiconducting Qubits</v>
      </c>
      <c r="N46" s="100" t="str">
        <f>M46</f>
        <v>TG 3 Design and Demonstration of a Highly Scalable Quantum Computer using Semiconducting Qubits</v>
      </c>
      <c r="O46" s="19"/>
    </row>
    <row r="47" spans="1:16" s="103" customFormat="1" ht="65" hidden="1">
      <c r="A47" s="58">
        <v>46091.769317129627</v>
      </c>
      <c r="B47" s="57" t="s">
        <v>421</v>
      </c>
      <c r="C47" s="57" t="s">
        <v>526</v>
      </c>
      <c r="D47" s="57" t="s">
        <v>147</v>
      </c>
      <c r="E47" s="57" t="s">
        <v>527</v>
      </c>
      <c r="F47" s="57" t="s">
        <v>528</v>
      </c>
      <c r="G47" s="57" t="s">
        <v>529</v>
      </c>
      <c r="H47" s="57" t="s">
        <v>262</v>
      </c>
      <c r="I47" s="57"/>
      <c r="J47" s="57" t="s">
        <v>513</v>
      </c>
      <c r="K47" s="100" t="e">
        <f>VLOOKUP(G47,Dataset!F:H,2,0)</f>
        <v>#N/A</v>
      </c>
      <c r="L47" s="100" t="s">
        <v>506</v>
      </c>
      <c r="M47" s="99" t="e">
        <f>VLOOKUP(G47,Dataset!F:H,3,0)</f>
        <v>#N/A</v>
      </c>
      <c r="N47" s="294" t="s">
        <v>486</v>
      </c>
      <c r="O47" s="294"/>
      <c r="P47" s="164"/>
    </row>
    <row r="48" spans="1:16" ht="25" hidden="1">
      <c r="A48" s="58">
        <v>46091.787118055552</v>
      </c>
      <c r="B48" s="57" t="s">
        <v>536</v>
      </c>
      <c r="C48" s="57" t="s">
        <v>537</v>
      </c>
      <c r="D48" s="57" t="s">
        <v>147</v>
      </c>
      <c r="E48" s="57" t="s">
        <v>427</v>
      </c>
      <c r="F48" s="57" t="s">
        <v>538</v>
      </c>
      <c r="G48" s="57" t="s">
        <v>539</v>
      </c>
      <c r="H48" s="57" t="s">
        <v>262</v>
      </c>
      <c r="I48" s="57"/>
      <c r="J48" s="57" t="s">
        <v>263</v>
      </c>
      <c r="K48" s="100" t="str">
        <f>VLOOKUP(G48,Dataset!F:H,2,0)</f>
        <v>IISc Bangalore</v>
      </c>
      <c r="L48" s="100" t="str">
        <f>K48</f>
        <v>IISc Bangalore</v>
      </c>
      <c r="M48" s="99" t="str">
        <f>VLOOKUP(G48,Dataset!F:H,3,0)</f>
        <v>TG 1 Photonics quantum processor development</v>
      </c>
      <c r="N48" s="100" t="str">
        <f>M48</f>
        <v>TG 1 Photonics quantum processor development</v>
      </c>
      <c r="O48" s="19"/>
    </row>
    <row r="49" spans="1:16" s="103" customFormat="1" ht="78" hidden="1">
      <c r="A49" s="58">
        <v>46091.870567129627</v>
      </c>
      <c r="B49" s="57" t="s">
        <v>309</v>
      </c>
      <c r="C49" s="57" t="s">
        <v>540</v>
      </c>
      <c r="D49" s="57" t="s">
        <v>147</v>
      </c>
      <c r="E49" s="57" t="s">
        <v>541</v>
      </c>
      <c r="F49" s="57" t="s">
        <v>542</v>
      </c>
      <c r="G49" s="57" t="s">
        <v>543</v>
      </c>
      <c r="H49" s="57" t="s">
        <v>262</v>
      </c>
      <c r="I49" s="57"/>
      <c r="J49" s="57" t="s">
        <v>158</v>
      </c>
      <c r="K49" s="100" t="e">
        <f>VLOOKUP(G49,Dataset!F:H,2,0)</f>
        <v>#N/A</v>
      </c>
      <c r="L49" s="100" t="s">
        <v>506</v>
      </c>
      <c r="M49" s="99" t="e">
        <f>VLOOKUP(G49,Dataset!F:H,3,0)</f>
        <v>#N/A</v>
      </c>
      <c r="N49" s="289" t="s">
        <v>202</v>
      </c>
      <c r="O49" s="289"/>
      <c r="P49" s="164"/>
    </row>
    <row r="50" spans="1:16" ht="37.5" hidden="1">
      <c r="A50" s="58">
        <v>46091.899560185186</v>
      </c>
      <c r="B50" s="57" t="s">
        <v>544</v>
      </c>
      <c r="C50" s="57" t="s">
        <v>212</v>
      </c>
      <c r="D50" s="57" t="s">
        <v>147</v>
      </c>
      <c r="E50" s="57" t="s">
        <v>545</v>
      </c>
      <c r="F50" s="57" t="s">
        <v>546</v>
      </c>
      <c r="G50" s="57" t="s">
        <v>547</v>
      </c>
      <c r="H50" s="57" t="s">
        <v>151</v>
      </c>
      <c r="I50" s="57"/>
      <c r="J50" s="57" t="s">
        <v>158</v>
      </c>
      <c r="K50" s="100" t="e">
        <f>VLOOKUP(G50,Dataset!F:H,2,0)</f>
        <v>#N/A</v>
      </c>
      <c r="L50" s="251" t="s">
        <v>137</v>
      </c>
      <c r="M50" s="99" t="e">
        <f>VLOOKUP(G50,Dataset!F:H,3,0)</f>
        <v>#N/A</v>
      </c>
      <c r="N50" s="258" t="s">
        <v>364</v>
      </c>
      <c r="O50" s="97"/>
    </row>
    <row r="51" spans="1:16" ht="37.5" hidden="1">
      <c r="A51" s="58">
        <v>46092.289525462962</v>
      </c>
      <c r="B51" s="57" t="s">
        <v>563</v>
      </c>
      <c r="C51" s="57" t="s">
        <v>564</v>
      </c>
      <c r="D51" s="57" t="s">
        <v>147</v>
      </c>
      <c r="E51" s="57" t="s">
        <v>565</v>
      </c>
      <c r="F51" s="57" t="s">
        <v>566</v>
      </c>
      <c r="G51" s="57" t="s">
        <v>567</v>
      </c>
      <c r="H51" s="57" t="s">
        <v>262</v>
      </c>
      <c r="I51" s="57"/>
      <c r="J51" s="57" t="s">
        <v>173</v>
      </c>
      <c r="K51" s="100" t="str">
        <f>VLOOKUP(G51,Dataset!F:H,2,0)</f>
        <v>IISc Bangalore</v>
      </c>
      <c r="L51" s="100" t="str">
        <f>K51</f>
        <v>IISc Bangalore</v>
      </c>
      <c r="M51" s="99" t="str">
        <f>VLOOKUP(G51,Dataset!F:H,3,0)</f>
        <v>TG 6 Quantum Computing with Neutral Atoms, Trapped Ions and Related Hybrid Systems</v>
      </c>
      <c r="N51" s="100" t="str">
        <f>M51</f>
        <v>TG 6 Quantum Computing with Neutral Atoms, Trapped Ions and Related Hybrid Systems</v>
      </c>
      <c r="O51" s="19"/>
    </row>
    <row r="52" spans="1:16" ht="25" hidden="1">
      <c r="A52" s="58">
        <v>46092.366435185184</v>
      </c>
      <c r="B52" s="57" t="s">
        <v>572</v>
      </c>
      <c r="C52" s="57" t="s">
        <v>573</v>
      </c>
      <c r="D52" s="57" t="s">
        <v>147</v>
      </c>
      <c r="E52" s="57" t="s">
        <v>266</v>
      </c>
      <c r="F52" s="57" t="s">
        <v>574</v>
      </c>
      <c r="G52" s="57" t="s">
        <v>575</v>
      </c>
      <c r="H52" s="57" t="s">
        <v>262</v>
      </c>
      <c r="I52" s="57"/>
      <c r="J52" s="57" t="s">
        <v>269</v>
      </c>
      <c r="K52" s="100" t="str">
        <f>VLOOKUP(G52,Dataset!F:H,2,0)</f>
        <v>IIT Bombay</v>
      </c>
      <c r="L52" s="100" t="str">
        <f>K52</f>
        <v>IIT Bombay</v>
      </c>
      <c r="M52" s="99" t="str">
        <f>VLOOKUP(G52,Dataset!F:H,3,0)</f>
        <v>TG 1 Anand Jha</v>
      </c>
      <c r="N52" s="100" t="str">
        <f>M52</f>
        <v>TG 1 Anand Jha</v>
      </c>
      <c r="O52" s="19"/>
    </row>
    <row r="53" spans="1:16" ht="50" hidden="1">
      <c r="A53" s="58">
        <v>46092.447511574072</v>
      </c>
      <c r="B53" s="57" t="s">
        <v>576</v>
      </c>
      <c r="C53" s="57" t="s">
        <v>577</v>
      </c>
      <c r="D53" s="57" t="s">
        <v>147</v>
      </c>
      <c r="E53" s="57" t="s">
        <v>209</v>
      </c>
      <c r="F53" s="57" t="s">
        <v>578</v>
      </c>
      <c r="G53" s="57" t="s">
        <v>579</v>
      </c>
      <c r="H53" s="57" t="s">
        <v>262</v>
      </c>
      <c r="I53" s="57"/>
      <c r="J53" s="57" t="s">
        <v>158</v>
      </c>
      <c r="K53" s="100" t="str">
        <f>VLOOKUP(G53,Dataset!F:H,2,0)</f>
        <v>IISc Bangalore</v>
      </c>
      <c r="L53" s="100" t="str">
        <f>K53</f>
        <v>IISc Bangalore</v>
      </c>
      <c r="M53" s="99" t="str">
        <f>VLOOKUP(G53,Dataset!F:H,3,0)</f>
        <v>TG 3 Design and Demonstration of a Highly Scalable Quantum Computer using Semiconducting Qubits</v>
      </c>
      <c r="N53" s="100" t="str">
        <f>M53</f>
        <v>TG 3 Design and Demonstration of a Highly Scalable Quantum Computer using Semiconducting Qubits</v>
      </c>
      <c r="O53" s="19"/>
    </row>
    <row r="54" spans="1:16" ht="50" hidden="1">
      <c r="A54" s="58">
        <v>46092.471076388887</v>
      </c>
      <c r="B54" s="57" t="s">
        <v>580</v>
      </c>
      <c r="C54" s="57" t="s">
        <v>581</v>
      </c>
      <c r="D54" s="57" t="s">
        <v>178</v>
      </c>
      <c r="E54" s="57"/>
      <c r="F54" s="57" t="s">
        <v>582</v>
      </c>
      <c r="G54" s="57" t="s">
        <v>583</v>
      </c>
      <c r="H54" s="57" t="s">
        <v>584</v>
      </c>
      <c r="I54" s="57" t="s">
        <v>585</v>
      </c>
      <c r="J54" s="57" t="s">
        <v>173</v>
      </c>
      <c r="K54" s="100" t="str">
        <f>VLOOKUP(G54,Dataset!F:H,2,0)</f>
        <v>IISc Bangalore</v>
      </c>
      <c r="L54" s="100" t="str">
        <f>K54</f>
        <v>IISc Bangalore</v>
      </c>
      <c r="M54" s="99" t="str">
        <f>VLOOKUP(G54,Dataset!F:H,3,0)</f>
        <v>TG 2 Programmable photonic quantum computing using qubits encoded in different degrees of freedom of a photon</v>
      </c>
      <c r="N54" s="100" t="str">
        <f>M54</f>
        <v>TG 2 Programmable photonic quantum computing using qubits encoded in different degrees of freedom of a photon</v>
      </c>
      <c r="O54" s="19"/>
    </row>
    <row r="55" spans="1:16" s="108" customFormat="1" ht="65" hidden="1">
      <c r="A55" s="58">
        <v>46092.622037037036</v>
      </c>
      <c r="B55" s="57" t="s">
        <v>593</v>
      </c>
      <c r="C55" s="57" t="s">
        <v>594</v>
      </c>
      <c r="D55" s="57" t="s">
        <v>147</v>
      </c>
      <c r="E55" s="57" t="s">
        <v>595</v>
      </c>
      <c r="F55" s="57" t="s">
        <v>596</v>
      </c>
      <c r="G55" s="57" t="s">
        <v>597</v>
      </c>
      <c r="H55" s="57" t="s">
        <v>598</v>
      </c>
      <c r="I55" s="57"/>
      <c r="J55" s="57" t="s">
        <v>143</v>
      </c>
      <c r="K55" s="100" t="e">
        <f>VLOOKUP(G55,Dataset!F:H,2,0)</f>
        <v>#N/A</v>
      </c>
      <c r="L55" s="100" t="s">
        <v>506</v>
      </c>
      <c r="M55" s="99" t="e">
        <f>VLOOKUP(G55,Dataset!F:H,3,0)</f>
        <v>#N/A</v>
      </c>
      <c r="N55" s="97" t="s">
        <v>486</v>
      </c>
      <c r="O55" s="97"/>
    </row>
    <row r="56" spans="1:16" ht="37.5" hidden="1">
      <c r="A56" s="58">
        <v>46092.738749999997</v>
      </c>
      <c r="B56" s="57" t="s">
        <v>605</v>
      </c>
      <c r="C56" s="57" t="s">
        <v>606</v>
      </c>
      <c r="D56" s="57" t="s">
        <v>147</v>
      </c>
      <c r="E56" s="57" t="s">
        <v>607</v>
      </c>
      <c r="F56" s="57" t="s">
        <v>608</v>
      </c>
      <c r="G56" s="57" t="s">
        <v>609</v>
      </c>
      <c r="H56" s="57" t="s">
        <v>164</v>
      </c>
      <c r="I56" s="57"/>
      <c r="J56" s="57" t="s">
        <v>434</v>
      </c>
      <c r="K56" s="100" t="str">
        <f>VLOOKUP(G56,Dataset!F:H,2,0)</f>
        <v>IIT Madras</v>
      </c>
      <c r="L56" s="100" t="str">
        <f>K56</f>
        <v>IIT Madras</v>
      </c>
      <c r="M56" s="99" t="str">
        <f>VLOOKUP(G56,Dataset!F:H,3,0)</f>
        <v>QuePRAN</v>
      </c>
      <c r="N56" s="100" t="str">
        <f>M56</f>
        <v>QuePRAN</v>
      </c>
      <c r="O56" s="19"/>
    </row>
    <row r="57" spans="1:16" ht="78" hidden="1">
      <c r="A57" s="58">
        <v>46093.460960648146</v>
      </c>
      <c r="B57" s="57" t="s">
        <v>610</v>
      </c>
      <c r="C57" s="57" t="s">
        <v>611</v>
      </c>
      <c r="D57" s="57" t="s">
        <v>147</v>
      </c>
      <c r="E57" s="57" t="s">
        <v>612</v>
      </c>
      <c r="F57" s="57" t="s">
        <v>613</v>
      </c>
      <c r="G57" s="57" t="s">
        <v>614</v>
      </c>
      <c r="H57" s="57" t="s">
        <v>151</v>
      </c>
      <c r="I57" s="57"/>
      <c r="J57" s="57" t="s">
        <v>615</v>
      </c>
      <c r="K57" s="100" t="e">
        <f>VLOOKUP(G57,Dataset!F:H,2,0)</f>
        <v>#N/A</v>
      </c>
      <c r="L57" s="100" t="s">
        <v>506</v>
      </c>
      <c r="M57" s="99" t="e">
        <f>VLOOKUP(G57,Dataset!F:H,3,0)</f>
        <v>#N/A</v>
      </c>
      <c r="N57" s="84" t="s">
        <v>202</v>
      </c>
      <c r="O57" s="97"/>
    </row>
    <row r="58" spans="1:16" ht="25" hidden="1">
      <c r="A58" s="58">
        <v>46093.476134259261</v>
      </c>
      <c r="B58" s="57" t="s">
        <v>616</v>
      </c>
      <c r="C58" s="57" t="s">
        <v>482</v>
      </c>
      <c r="D58" s="57" t="s">
        <v>178</v>
      </c>
      <c r="E58" s="57"/>
      <c r="F58" s="57" t="s">
        <v>617</v>
      </c>
      <c r="G58" s="57" t="s">
        <v>618</v>
      </c>
      <c r="H58" s="57" t="s">
        <v>619</v>
      </c>
      <c r="I58" s="57" t="s">
        <v>620</v>
      </c>
      <c r="J58" s="57" t="s">
        <v>173</v>
      </c>
      <c r="K58" s="100" t="str">
        <f>VLOOKUP(G58,Dataset!F:H,2,0)</f>
        <v>IISc Bangalore</v>
      </c>
      <c r="L58" s="100" t="str">
        <f>K58</f>
        <v>IISc Bangalore</v>
      </c>
      <c r="M58" s="99" t="str">
        <f>VLOOKUP(G58,Dataset!F:H,3,0)</f>
        <v>TG 1 Photonics quantum processor development</v>
      </c>
      <c r="N58" s="100" t="str">
        <f>M58</f>
        <v>TG 1 Photonics quantum processor development</v>
      </c>
      <c r="O58" s="19"/>
    </row>
    <row r="59" spans="1:16" ht="52" hidden="1">
      <c r="A59" s="58">
        <v>46093.544386574074</v>
      </c>
      <c r="B59" s="57" t="s">
        <v>631</v>
      </c>
      <c r="C59" s="57" t="s">
        <v>632</v>
      </c>
      <c r="D59" s="57" t="s">
        <v>147</v>
      </c>
      <c r="E59" s="57" t="s">
        <v>633</v>
      </c>
      <c r="F59" s="57" t="s">
        <v>634</v>
      </c>
      <c r="G59" s="57" t="s">
        <v>635</v>
      </c>
      <c r="H59" s="57" t="s">
        <v>164</v>
      </c>
      <c r="I59" s="57"/>
      <c r="J59" s="57" t="s">
        <v>143</v>
      </c>
      <c r="K59" s="100" t="e">
        <f>VLOOKUP(G59,Dataset!F:H,2,0)</f>
        <v>#N/A</v>
      </c>
      <c r="L59" s="100" t="s">
        <v>506</v>
      </c>
      <c r="M59" s="99" t="e">
        <f>VLOOKUP(G59,Dataset!F:H,3,0)</f>
        <v>#N/A</v>
      </c>
      <c r="N59" s="97" t="s">
        <v>461</v>
      </c>
      <c r="O59" s="97"/>
    </row>
    <row r="60" spans="1:16" ht="25" hidden="1">
      <c r="A60" s="58">
        <v>46093.65929398148</v>
      </c>
      <c r="B60" s="57" t="s">
        <v>636</v>
      </c>
      <c r="C60" s="57" t="s">
        <v>637</v>
      </c>
      <c r="D60" s="57" t="s">
        <v>147</v>
      </c>
      <c r="E60" s="57" t="s">
        <v>638</v>
      </c>
      <c r="F60" s="57" t="s">
        <v>639</v>
      </c>
      <c r="G60" s="57" t="s">
        <v>640</v>
      </c>
      <c r="H60" s="57" t="s">
        <v>164</v>
      </c>
      <c r="I60" s="57"/>
      <c r="J60" s="57" t="s">
        <v>641</v>
      </c>
      <c r="K60" s="100" t="str">
        <f>VLOOKUP(G60,Dataset!F:H,2,0)</f>
        <v>IISc Bangalore</v>
      </c>
      <c r="L60" s="100" t="str">
        <f>K60</f>
        <v>IISc Bangalore</v>
      </c>
      <c r="M60" s="99" t="str">
        <f>VLOOKUP(G60,Dataset!F:H,3,0)</f>
        <v>TG 1 Photonics quantum processor development</v>
      </c>
      <c r="N60" s="100" t="str">
        <f>M60</f>
        <v>TG 1 Photonics quantum processor development</v>
      </c>
      <c r="O60" s="19"/>
    </row>
    <row r="61" spans="1:16" s="103" customFormat="1" ht="25" hidden="1">
      <c r="A61" s="58">
        <v>46093.699178240742</v>
      </c>
      <c r="B61" s="57" t="s">
        <v>642</v>
      </c>
      <c r="C61" s="57" t="s">
        <v>643</v>
      </c>
      <c r="D61" s="57" t="s">
        <v>147</v>
      </c>
      <c r="E61" s="57" t="s">
        <v>644</v>
      </c>
      <c r="F61" s="57" t="s">
        <v>645</v>
      </c>
      <c r="G61" s="57" t="s">
        <v>646</v>
      </c>
      <c r="H61" s="57" t="s">
        <v>262</v>
      </c>
      <c r="I61" s="57"/>
      <c r="J61" s="57" t="s">
        <v>216</v>
      </c>
      <c r="K61" s="100" t="str">
        <f>VLOOKUP(G61,Dataset!F:H,2,0)</f>
        <v>IIT Delhi</v>
      </c>
      <c r="L61" s="100" t="str">
        <f>K61</f>
        <v>IIT Delhi</v>
      </c>
      <c r="M61" s="99" t="str">
        <f>VLOOKUP(G61,Dataset!F:H,3,0)</f>
        <v>TG3:WaveguideandIntegratedQuantumPhotonics</v>
      </c>
      <c r="N61" s="100" t="str">
        <f>M61</f>
        <v>TG3:WaveguideandIntegratedQuantumPhotonics</v>
      </c>
      <c r="O61" s="100"/>
      <c r="P61" s="164"/>
    </row>
    <row r="62" spans="1:16" s="103" customFormat="1" ht="25" hidden="1">
      <c r="A62" s="58">
        <v>46093.702407407407</v>
      </c>
      <c r="B62" s="57" t="s">
        <v>647</v>
      </c>
      <c r="C62" s="57" t="s">
        <v>648</v>
      </c>
      <c r="D62" s="57" t="s">
        <v>147</v>
      </c>
      <c r="E62" s="57" t="s">
        <v>649</v>
      </c>
      <c r="F62" s="57" t="s">
        <v>650</v>
      </c>
      <c r="G62" s="57" t="s">
        <v>651</v>
      </c>
      <c r="H62" s="57" t="s">
        <v>652</v>
      </c>
      <c r="I62" s="57"/>
      <c r="J62" s="57" t="s">
        <v>653</v>
      </c>
      <c r="K62" s="100" t="str">
        <f>VLOOKUP(G62,Dataset!F:H,2,0)</f>
        <v>IIT Madras</v>
      </c>
      <c r="L62" s="100" t="str">
        <f>K62</f>
        <v>IIT Madras</v>
      </c>
      <c r="M62" s="99" t="str">
        <f>VLOOKUP(G62,Dataset!F:H,3,0)</f>
        <v>QuePRAN</v>
      </c>
      <c r="N62" s="100" t="str">
        <f>M62</f>
        <v>QuePRAN</v>
      </c>
      <c r="O62" s="100"/>
      <c r="P62" s="164"/>
    </row>
    <row r="63" spans="1:16" ht="87.5" hidden="1">
      <c r="A63" s="58">
        <v>46094.598877314813</v>
      </c>
      <c r="B63" s="57" t="s">
        <v>391</v>
      </c>
      <c r="C63" s="57" t="s">
        <v>212</v>
      </c>
      <c r="D63" s="57" t="s">
        <v>147</v>
      </c>
      <c r="E63" s="57" t="s">
        <v>670</v>
      </c>
      <c r="F63" s="57" t="s">
        <v>671</v>
      </c>
      <c r="G63" s="57" t="s">
        <v>433</v>
      </c>
      <c r="H63" s="57" t="s">
        <v>164</v>
      </c>
      <c r="I63" s="57"/>
      <c r="J63" s="57" t="s">
        <v>672</v>
      </c>
      <c r="K63" s="100" t="e">
        <f>VLOOKUP(G63,Dataset!F:H,2,0)</f>
        <v>#N/A</v>
      </c>
      <c r="L63" s="100" t="s">
        <v>209</v>
      </c>
      <c r="M63" s="99" t="e">
        <f>VLOOKUP(G63,Dataset!F:H,3,0)</f>
        <v>#N/A</v>
      </c>
      <c r="N63" s="259" t="s">
        <v>302</v>
      </c>
      <c r="O63" s="520"/>
    </row>
    <row r="64" spans="1:16" ht="25" hidden="1">
      <c r="A64" s="237">
        <v>46094.73605324074</v>
      </c>
      <c r="B64" s="196" t="s">
        <v>673</v>
      </c>
      <c r="C64" s="196" t="s">
        <v>321</v>
      </c>
      <c r="D64" s="196" t="s">
        <v>147</v>
      </c>
      <c r="E64" s="196" t="s">
        <v>266</v>
      </c>
      <c r="F64" s="196" t="s">
        <v>674</v>
      </c>
      <c r="G64" s="196" t="s">
        <v>675</v>
      </c>
      <c r="H64" s="196" t="s">
        <v>151</v>
      </c>
      <c r="I64" s="196"/>
      <c r="J64" s="196" t="s">
        <v>269</v>
      </c>
      <c r="K64" s="100" t="str">
        <f>VLOOKUP(G64,Dataset!F:H,2,0)</f>
        <v>IIT Bombay</v>
      </c>
      <c r="L64" s="176" t="str">
        <f>K64</f>
        <v>IIT Bombay</v>
      </c>
      <c r="M64" s="99" t="str">
        <f>VLOOKUP(G64,Dataset!F:H,3,0)</f>
        <v>TG 2 Saikat Ghosh</v>
      </c>
      <c r="N64" s="176" t="str">
        <f>M64</f>
        <v>TG 2 Saikat Ghosh</v>
      </c>
    </row>
    <row r="65" spans="1:16" ht="25" hidden="1">
      <c r="A65" s="237">
        <v>46079.796631944446</v>
      </c>
      <c r="B65" s="196" t="s">
        <v>688</v>
      </c>
      <c r="C65" s="196" t="s">
        <v>689</v>
      </c>
      <c r="D65" s="196" t="s">
        <v>147</v>
      </c>
      <c r="E65" s="196" t="s">
        <v>690</v>
      </c>
      <c r="F65" s="196" t="s">
        <v>691</v>
      </c>
      <c r="G65" s="196" t="s">
        <v>692</v>
      </c>
      <c r="H65" s="196" t="s">
        <v>693</v>
      </c>
      <c r="I65" s="196"/>
      <c r="J65" s="196" t="s">
        <v>694</v>
      </c>
      <c r="K65" s="100" t="str">
        <f>VLOOKUP(G65,Dataset!F:H,2,0)</f>
        <v>IIT Madras</v>
      </c>
      <c r="L65" s="176" t="str">
        <f>K65</f>
        <v>IIT Madras</v>
      </c>
      <c r="M65" s="99" t="str">
        <f>VLOOKUP(G65,Dataset!F:H,3,0)</f>
        <v>QuePRAN</v>
      </c>
      <c r="N65" s="176" t="str">
        <f>M65</f>
        <v>QuePRAN</v>
      </c>
    </row>
    <row r="66" spans="1:16" s="103" customFormat="1" ht="25" hidden="1">
      <c r="A66" s="237">
        <v>46095.553263888891</v>
      </c>
      <c r="B66" s="196" t="s">
        <v>695</v>
      </c>
      <c r="C66" s="196" t="s">
        <v>594</v>
      </c>
      <c r="D66" s="196" t="s">
        <v>147</v>
      </c>
      <c r="E66" s="196" t="s">
        <v>696</v>
      </c>
      <c r="F66" s="196" t="s">
        <v>697</v>
      </c>
      <c r="G66" s="196" t="s">
        <v>698</v>
      </c>
      <c r="H66" s="196" t="s">
        <v>699</v>
      </c>
      <c r="I66" s="196"/>
      <c r="J66" s="196" t="s">
        <v>208</v>
      </c>
      <c r="K66" s="100" t="e">
        <f>VLOOKUP(G66,Dataset!F:H,2,0)</f>
        <v>#N/A</v>
      </c>
      <c r="L66" s="285" t="s">
        <v>137</v>
      </c>
      <c r="M66" s="99" t="e">
        <f>VLOOKUP(G66,Dataset!F:H,3,0)</f>
        <v>#N/A</v>
      </c>
      <c r="N66" s="176" t="s">
        <v>296</v>
      </c>
      <c r="O66" s="176"/>
      <c r="P66" s="164"/>
    </row>
    <row r="67" spans="1:16" ht="25" hidden="1">
      <c r="A67" s="237">
        <v>46095.775405092594</v>
      </c>
      <c r="B67" s="196" t="s">
        <v>700</v>
      </c>
      <c r="C67" s="196" t="s">
        <v>701</v>
      </c>
      <c r="D67" s="196" t="s">
        <v>147</v>
      </c>
      <c r="E67" s="196" t="s">
        <v>702</v>
      </c>
      <c r="F67" s="196" t="s">
        <v>703</v>
      </c>
      <c r="G67" s="196" t="s">
        <v>704</v>
      </c>
      <c r="H67" s="196" t="s">
        <v>705</v>
      </c>
      <c r="I67" s="196"/>
      <c r="J67" s="196" t="s">
        <v>143</v>
      </c>
      <c r="K67" s="100" t="e">
        <f>VLOOKUP(G67,Dataset!F:H,2,0)</f>
        <v>#N/A</v>
      </c>
      <c r="L67" s="196" t="s">
        <v>144</v>
      </c>
      <c r="M67" s="99" t="e">
        <f>VLOOKUP(G67,Dataset!F:H,3,0)</f>
        <v>#N/A</v>
      </c>
      <c r="N67" s="285" t="s">
        <v>238</v>
      </c>
      <c r="O67" s="59"/>
    </row>
    <row r="68" spans="1:16" s="113" customFormat="1" ht="25" hidden="1">
      <c r="A68" s="237">
        <v>46096.019143518519</v>
      </c>
      <c r="B68" s="196" t="s">
        <v>708</v>
      </c>
      <c r="C68" s="196" t="s">
        <v>709</v>
      </c>
      <c r="D68" s="196" t="s">
        <v>178</v>
      </c>
      <c r="E68" s="196"/>
      <c r="F68" s="196" t="s">
        <v>710</v>
      </c>
      <c r="G68" s="196" t="s">
        <v>711</v>
      </c>
      <c r="H68" s="196" t="s">
        <v>712</v>
      </c>
      <c r="I68" s="196" t="s">
        <v>713</v>
      </c>
      <c r="J68" s="196" t="s">
        <v>223</v>
      </c>
      <c r="K68" s="100" t="e">
        <f>VLOOKUP(G68,Dataset!F:H,2,0)</f>
        <v>#N/A</v>
      </c>
      <c r="L68" s="196" t="s">
        <v>209</v>
      </c>
      <c r="M68" s="99" t="e">
        <f>VLOOKUP(G68,Dataset!F:H,3,0)</f>
        <v>#N/A</v>
      </c>
      <c r="N68" s="176" t="s">
        <v>714</v>
      </c>
      <c r="O68"/>
    </row>
    <row r="69" spans="1:16" ht="37.5" hidden="1">
      <c r="A69" s="237">
        <v>46096.501458333332</v>
      </c>
      <c r="B69" s="196" t="s">
        <v>719</v>
      </c>
      <c r="C69" s="196" t="s">
        <v>720</v>
      </c>
      <c r="D69" s="196" t="s">
        <v>147</v>
      </c>
      <c r="E69" s="196" t="s">
        <v>721</v>
      </c>
      <c r="F69" s="196" t="s">
        <v>722</v>
      </c>
      <c r="G69" s="196" t="s">
        <v>723</v>
      </c>
      <c r="H69" s="196" t="s">
        <v>164</v>
      </c>
      <c r="I69" s="196"/>
      <c r="J69" s="196" t="s">
        <v>724</v>
      </c>
      <c r="K69" s="100" t="str">
        <f>VLOOKUP(G69,Dataset!F:H,2,0)</f>
        <v>IISc Bangalore</v>
      </c>
      <c r="L69" s="176" t="str">
        <f>K69</f>
        <v>IISc Bangalore</v>
      </c>
      <c r="M69" s="99" t="str">
        <f>VLOOKUP(G69,Dataset!F:H,3,0)</f>
        <v>TG 6 Quantum Computing with Neutral Atoms, Trapped Ions and Related Hybrid Systems</v>
      </c>
      <c r="N69" s="291" t="str">
        <f>M69</f>
        <v>TG 6 Quantum Computing with Neutral Atoms, Trapped Ions and Related Hybrid Systems</v>
      </c>
    </row>
    <row r="70" spans="1:16" s="108" customFormat="1" ht="25" hidden="1">
      <c r="A70" s="237">
        <v>46096.668136574073</v>
      </c>
      <c r="B70" s="196" t="s">
        <v>725</v>
      </c>
      <c r="C70" s="196" t="s">
        <v>247</v>
      </c>
      <c r="D70" s="196" t="s">
        <v>147</v>
      </c>
      <c r="E70" s="196" t="s">
        <v>726</v>
      </c>
      <c r="F70" s="196" t="s">
        <v>727</v>
      </c>
      <c r="G70" s="196" t="s">
        <v>728</v>
      </c>
      <c r="H70" s="196" t="s">
        <v>729</v>
      </c>
      <c r="I70" s="196"/>
      <c r="J70" s="196" t="s">
        <v>263</v>
      </c>
      <c r="K70" s="100" t="str">
        <f>VLOOKUP(G70,Dataset!F:H,2,0)</f>
        <v>IISc Bangalore</v>
      </c>
      <c r="L70" s="176" t="str">
        <f>K70</f>
        <v>IISc Bangalore</v>
      </c>
      <c r="M70" s="99" t="str">
        <f>VLOOKUP(G70,Dataset!F:H,3,0)</f>
        <v>TG 1 Photonics quantum processor development</v>
      </c>
      <c r="N70" s="176" t="str">
        <f>M70</f>
        <v>TG 1 Photonics quantum processor development</v>
      </c>
      <c r="O70"/>
    </row>
    <row r="71" spans="1:16" s="108" customFormat="1" ht="50" hidden="1">
      <c r="A71" s="237">
        <v>46096.836435185185</v>
      </c>
      <c r="B71" s="196" t="s">
        <v>730</v>
      </c>
      <c r="C71" s="196" t="s">
        <v>731</v>
      </c>
      <c r="D71" s="196" t="s">
        <v>147</v>
      </c>
      <c r="E71" s="196" t="s">
        <v>427</v>
      </c>
      <c r="F71" s="196" t="s">
        <v>732</v>
      </c>
      <c r="G71" s="196" t="s">
        <v>733</v>
      </c>
      <c r="H71" s="196" t="s">
        <v>262</v>
      </c>
      <c r="I71" s="196"/>
      <c r="J71" s="196" t="s">
        <v>173</v>
      </c>
      <c r="K71" s="100" t="str">
        <f>VLOOKUP(G71,Dataset!F:H,2,0)</f>
        <v>IISc Bangalore</v>
      </c>
      <c r="L71" s="176" t="str">
        <f>K71</f>
        <v>IISc Bangalore</v>
      </c>
      <c r="M71" s="99" t="str">
        <f>VLOOKUP(G71,Dataset!F:H,3,0)</f>
        <v>TG 2 Programmable photonic quantum computing using qubits encoded in different degrees of freedom of a photon</v>
      </c>
      <c r="N71" s="176" t="str">
        <f>M71</f>
        <v>TG 2 Programmable photonic quantum computing using qubits encoded in different degrees of freedom of a photon</v>
      </c>
      <c r="O71"/>
    </row>
    <row r="72" spans="1:16" ht="25">
      <c r="A72" s="237">
        <v>46097.505266203705</v>
      </c>
      <c r="B72" s="196" t="s">
        <v>734</v>
      </c>
      <c r="C72" s="196" t="s">
        <v>735</v>
      </c>
      <c r="D72" s="196" t="s">
        <v>147</v>
      </c>
      <c r="E72" s="196"/>
      <c r="F72" s="196" t="s">
        <v>736</v>
      </c>
      <c r="G72" s="196" t="s">
        <v>737</v>
      </c>
      <c r="H72" s="196" t="s">
        <v>262</v>
      </c>
      <c r="I72" s="196"/>
      <c r="J72" s="196" t="s">
        <v>173</v>
      </c>
      <c r="K72" s="100" t="str">
        <f>VLOOKUP(G72,Dataset!F:H,2,0)</f>
        <v>IISc Bangalore</v>
      </c>
      <c r="L72" s="176"/>
      <c r="M72" s="99" t="str">
        <f>VLOOKUP(G72,Dataset!F:H,3,0)</f>
        <v>TG 1 Photonics quantum processor development</v>
      </c>
      <c r="N72" s="176"/>
    </row>
    <row r="73" spans="1:16" ht="25" hidden="1">
      <c r="A73" s="237">
        <v>46097.528483796297</v>
      </c>
      <c r="B73" s="196" t="s">
        <v>478</v>
      </c>
      <c r="C73" s="196" t="s">
        <v>482</v>
      </c>
      <c r="D73" s="196" t="s">
        <v>147</v>
      </c>
      <c r="E73" s="196"/>
      <c r="F73" s="196" t="s">
        <v>739</v>
      </c>
      <c r="G73" s="196" t="s">
        <v>740</v>
      </c>
      <c r="H73" s="196" t="s">
        <v>741</v>
      </c>
      <c r="I73" s="196"/>
      <c r="J73" s="196" t="s">
        <v>742</v>
      </c>
      <c r="K73" s="100" t="str">
        <f>VLOOKUP(G73,Dataset!F:H,2,0)</f>
        <v>IISc Bangalore</v>
      </c>
      <c r="L73" s="100" t="str">
        <f>K73</f>
        <v>IISc Bangalore</v>
      </c>
      <c r="M73" s="99" t="str">
        <f>VLOOKUP(G73,Dataset!F:H,3,0)</f>
        <v>TG 1 Photonics quantum processor development</v>
      </c>
      <c r="N73" s="293" t="str">
        <f>M73</f>
        <v>TG 1 Photonics quantum processor development</v>
      </c>
      <c r="O73" s="19"/>
    </row>
    <row r="74" spans="1:16" ht="25" hidden="1">
      <c r="A74" s="237">
        <v>46097.605405092596</v>
      </c>
      <c r="B74" s="196" t="s">
        <v>749</v>
      </c>
      <c r="C74" s="196" t="s">
        <v>750</v>
      </c>
      <c r="D74" s="196" t="s">
        <v>147</v>
      </c>
      <c r="E74" s="196"/>
      <c r="F74" s="196" t="s">
        <v>751</v>
      </c>
      <c r="G74" s="196" t="s">
        <v>752</v>
      </c>
      <c r="H74" s="196" t="s">
        <v>164</v>
      </c>
      <c r="I74" s="196"/>
      <c r="J74" s="196" t="s">
        <v>325</v>
      </c>
      <c r="K74" s="100" t="e">
        <f>VLOOKUP(G74,Dataset!F:H,2,0)</f>
        <v>#N/A</v>
      </c>
      <c r="L74" s="196" t="s">
        <v>174</v>
      </c>
      <c r="M74" s="99" t="e">
        <f>VLOOKUP(G74,Dataset!F:H,3,0)</f>
        <v>#N/A</v>
      </c>
      <c r="N74" s="176" t="s">
        <v>202</v>
      </c>
    </row>
    <row r="75" spans="1:16" ht="37.5" hidden="1">
      <c r="A75" s="237">
        <v>46097.749409722222</v>
      </c>
      <c r="B75" s="196" t="s">
        <v>753</v>
      </c>
      <c r="C75" s="196" t="s">
        <v>754</v>
      </c>
      <c r="D75" s="196" t="s">
        <v>147</v>
      </c>
      <c r="E75" s="196"/>
      <c r="F75" s="196" t="s">
        <v>755</v>
      </c>
      <c r="G75" s="196" t="s">
        <v>72</v>
      </c>
      <c r="H75" s="196" t="s">
        <v>395</v>
      </c>
      <c r="I75" s="196"/>
      <c r="J75" s="196" t="s">
        <v>756</v>
      </c>
      <c r="K75" s="100" t="str">
        <f>VLOOKUP(G75,Dataset!F:H,2,0)</f>
        <v>IISc Bangalore</v>
      </c>
      <c r="L75" s="176" t="str">
        <f>K75</f>
        <v>IISc Bangalore</v>
      </c>
      <c r="M75" s="99" t="str">
        <f>VLOOKUP(G75,Dataset!F:H,3,0)</f>
        <v>TG 6 Quantum Computing with Neutral Atoms, Trapped Ions and Related Hybrid Systems</v>
      </c>
      <c r="N75" s="290" t="str">
        <f>M75</f>
        <v>TG 6 Quantum Computing with Neutral Atoms, Trapped Ions and Related Hybrid Systems</v>
      </c>
    </row>
    <row r="76" spans="1:16" s="103" customFormat="1" ht="25" hidden="1">
      <c r="A76" s="237">
        <v>46098.390636574077</v>
      </c>
      <c r="B76" s="196" t="s">
        <v>769</v>
      </c>
      <c r="C76" s="196" t="s">
        <v>720</v>
      </c>
      <c r="D76" s="196" t="s">
        <v>147</v>
      </c>
      <c r="E76" s="196"/>
      <c r="F76" s="196" t="s">
        <v>770</v>
      </c>
      <c r="G76" s="196" t="s">
        <v>771</v>
      </c>
      <c r="H76" s="196" t="s">
        <v>151</v>
      </c>
      <c r="I76" s="196"/>
      <c r="J76" s="196" t="s">
        <v>158</v>
      </c>
      <c r="K76" s="100" t="e">
        <f>VLOOKUP(G76,Dataset!F:H,2,0)</f>
        <v>#N/A</v>
      </c>
      <c r="L76" s="196" t="s">
        <v>174</v>
      </c>
      <c r="M76" s="99" t="e">
        <f>VLOOKUP(G76,Dataset!F:H,3,0)</f>
        <v>#N/A</v>
      </c>
      <c r="N76" s="176" t="s">
        <v>772</v>
      </c>
      <c r="O76" s="176"/>
      <c r="P76" s="164"/>
    </row>
    <row r="77" spans="1:16" ht="37.5" hidden="1">
      <c r="A77" s="237">
        <v>46098.423356481479</v>
      </c>
      <c r="B77" s="196" t="s">
        <v>778</v>
      </c>
      <c r="C77" s="196" t="s">
        <v>212</v>
      </c>
      <c r="D77" s="196" t="s">
        <v>147</v>
      </c>
      <c r="E77" s="196" t="s">
        <v>52</v>
      </c>
      <c r="F77" s="196" t="s">
        <v>779</v>
      </c>
      <c r="G77" s="275" t="s">
        <v>780</v>
      </c>
      <c r="H77" s="196" t="s">
        <v>262</v>
      </c>
      <c r="I77" s="196"/>
      <c r="J77" s="196" t="s">
        <v>781</v>
      </c>
      <c r="K77" s="100" t="str">
        <f>VLOOKUP(G77,Dataset!F:H,2,0)</f>
        <v>IISc Bangalore</v>
      </c>
      <c r="L77" s="176" t="str">
        <f>K77</f>
        <v>IISc Bangalore</v>
      </c>
      <c r="M77" s="99" t="str">
        <f>VLOOKUP(G77,Dataset!F:H,3,0)</f>
        <v>TG 1 Photonics quantum processor development</v>
      </c>
      <c r="N77" s="176" t="str">
        <f>M77</f>
        <v>TG 1 Photonics quantum processor development</v>
      </c>
    </row>
    <row r="78" spans="1:16" ht="37.5" hidden="1">
      <c r="A78" s="237">
        <v>46098.465682870374</v>
      </c>
      <c r="B78" s="196" t="s">
        <v>642</v>
      </c>
      <c r="C78" s="196" t="s">
        <v>783</v>
      </c>
      <c r="D78" s="196" t="s">
        <v>147</v>
      </c>
      <c r="E78" s="196" t="s">
        <v>52</v>
      </c>
      <c r="F78" s="196" t="s">
        <v>784</v>
      </c>
      <c r="G78" s="196" t="s">
        <v>785</v>
      </c>
      <c r="H78" s="196" t="s">
        <v>262</v>
      </c>
      <c r="I78" s="196"/>
      <c r="J78" s="196" t="s">
        <v>786</v>
      </c>
      <c r="K78" s="100" t="e">
        <f>VLOOKUP(G78,Dataset!F:H,2,0)</f>
        <v>#N/A</v>
      </c>
      <c r="L78" s="196" t="s">
        <v>174</v>
      </c>
      <c r="M78" s="99" t="e">
        <f>VLOOKUP(G78,Dataset!F:H,3,0)</f>
        <v>#N/A</v>
      </c>
      <c r="N78" s="291" t="s">
        <v>787</v>
      </c>
    </row>
    <row r="79" spans="1:16" ht="25" hidden="1">
      <c r="A79" s="237">
        <v>46098.466747685183</v>
      </c>
      <c r="B79" s="196" t="s">
        <v>788</v>
      </c>
      <c r="C79" s="196" t="s">
        <v>482</v>
      </c>
      <c r="D79" s="196" t="s">
        <v>147</v>
      </c>
      <c r="E79" s="196" t="s">
        <v>112</v>
      </c>
      <c r="F79" s="196" t="s">
        <v>789</v>
      </c>
      <c r="G79" s="196" t="s">
        <v>790</v>
      </c>
      <c r="H79" s="196" t="s">
        <v>275</v>
      </c>
      <c r="I79" s="196"/>
      <c r="J79" s="196" t="s">
        <v>158</v>
      </c>
      <c r="K79" s="100" t="e">
        <f>VLOOKUP(G79,Dataset!F:H,2,0)</f>
        <v>#N/A</v>
      </c>
      <c r="L79" s="280" t="s">
        <v>209</v>
      </c>
      <c r="M79" s="99" t="e">
        <f>VLOOKUP(G79,Dataset!F:H,3,0)</f>
        <v>#N/A</v>
      </c>
      <c r="N79" s="292" t="s">
        <v>791</v>
      </c>
    </row>
    <row r="80" spans="1:16" s="103" customFormat="1" ht="50" hidden="1">
      <c r="A80" s="237">
        <v>46098.51898148148</v>
      </c>
      <c r="B80" s="196" t="s">
        <v>792</v>
      </c>
      <c r="C80" s="196" t="s">
        <v>793</v>
      </c>
      <c r="D80" s="196" t="s">
        <v>147</v>
      </c>
      <c r="E80" s="196" t="s">
        <v>52</v>
      </c>
      <c r="F80" s="196" t="s">
        <v>794</v>
      </c>
      <c r="G80" s="196" t="s">
        <v>795</v>
      </c>
      <c r="H80" s="196" t="s">
        <v>164</v>
      </c>
      <c r="I80" s="196"/>
      <c r="J80" s="196" t="s">
        <v>216</v>
      </c>
      <c r="K80" s="100" t="str">
        <f>VLOOKUP(G80,Dataset!F:H,2,0)</f>
        <v>IISc Bangalore</v>
      </c>
      <c r="L80" s="176" t="str">
        <f>K80</f>
        <v>IISc Bangalore</v>
      </c>
      <c r="M80" s="99" t="str">
        <f>VLOOKUP(G80,Dataset!F:H,3,0)</f>
        <v>TG 3 Design and Demonstration of a Highly Scalable Quantum Computer using Semiconducting Qubits</v>
      </c>
      <c r="N80" s="176" t="str">
        <f>M80</f>
        <v>TG 3 Design and Demonstration of a Highly Scalable Quantum Computer using Semiconducting Qubits</v>
      </c>
      <c r="O80" s="176"/>
      <c r="P80" s="164"/>
    </row>
    <row r="81" spans="1:16" s="103" customFormat="1" ht="37.5" hidden="1">
      <c r="A81" s="237">
        <v>46098.5309837963</v>
      </c>
      <c r="B81" s="196" t="s">
        <v>796</v>
      </c>
      <c r="C81" s="196" t="s">
        <v>797</v>
      </c>
      <c r="D81" s="196" t="s">
        <v>147</v>
      </c>
      <c r="E81" s="196" t="s">
        <v>52</v>
      </c>
      <c r="F81" s="196" t="s">
        <v>798</v>
      </c>
      <c r="G81" s="196" t="s">
        <v>799</v>
      </c>
      <c r="H81" s="196" t="s">
        <v>262</v>
      </c>
      <c r="I81" s="196"/>
      <c r="J81" s="196" t="s">
        <v>216</v>
      </c>
      <c r="K81" s="100" t="str">
        <f>VLOOKUP(G81,Dataset!F:H,2,0)</f>
        <v>IISc Bangalore</v>
      </c>
      <c r="L81" s="176" t="str">
        <f>K81</f>
        <v>IISc Bangalore</v>
      </c>
      <c r="M81" s="99" t="str">
        <f>VLOOKUP(G81,Dataset!F:H,3,0)</f>
        <v>TG 6 Quantum Computing with Neutral Atoms, Trapped Ions and Related Hybrid Systems</v>
      </c>
      <c r="N81" s="176" t="str">
        <f>M81</f>
        <v>TG 6 Quantum Computing with Neutral Atoms, Trapped Ions and Related Hybrid Systems</v>
      </c>
      <c r="O81" s="176"/>
      <c r="P81" s="164"/>
    </row>
    <row r="82" spans="1:16" s="103" customFormat="1" ht="37.5" hidden="1">
      <c r="A82" s="237">
        <v>46098.565185185187</v>
      </c>
      <c r="B82" s="196" t="s">
        <v>800</v>
      </c>
      <c r="C82" s="196" t="s">
        <v>801</v>
      </c>
      <c r="D82" s="196" t="s">
        <v>147</v>
      </c>
      <c r="E82" s="196" t="s">
        <v>52</v>
      </c>
      <c r="F82" s="196" t="s">
        <v>802</v>
      </c>
      <c r="G82" s="196" t="s">
        <v>803</v>
      </c>
      <c r="H82" s="196" t="s">
        <v>164</v>
      </c>
      <c r="I82" s="196"/>
      <c r="J82" s="196" t="s">
        <v>263</v>
      </c>
      <c r="K82" s="100" t="str">
        <f>VLOOKUP(G82,Dataset!F:H,2,0)</f>
        <v>IISc Bangalore</v>
      </c>
      <c r="L82" s="176" t="str">
        <f>K82</f>
        <v>IISc Bangalore</v>
      </c>
      <c r="M82" s="99" t="str">
        <f>VLOOKUP(G82,Dataset!F:H,3,0)</f>
        <v>TG 1 Photonics quantum processor development</v>
      </c>
      <c r="N82" s="176" t="str">
        <f>M82</f>
        <v>TG 1 Photonics quantum processor development</v>
      </c>
      <c r="O82" s="176"/>
      <c r="P82" s="164"/>
    </row>
    <row r="83" spans="1:16" ht="37.5" hidden="1">
      <c r="A83" s="237">
        <v>46098.597199074073</v>
      </c>
      <c r="B83" s="196" t="s">
        <v>804</v>
      </c>
      <c r="C83" s="196" t="s">
        <v>805</v>
      </c>
      <c r="D83" s="196" t="s">
        <v>147</v>
      </c>
      <c r="E83" s="196" t="s">
        <v>52</v>
      </c>
      <c r="F83" s="196" t="s">
        <v>806</v>
      </c>
      <c r="G83" s="196" t="s">
        <v>807</v>
      </c>
      <c r="H83" s="196" t="s">
        <v>164</v>
      </c>
      <c r="I83" s="196"/>
      <c r="J83" s="196" t="s">
        <v>223</v>
      </c>
      <c r="K83" s="100" t="e">
        <f>VLOOKUP(G83,Dataset!F:H,2,0)</f>
        <v>#N/A</v>
      </c>
      <c r="L83" s="196" t="s">
        <v>174</v>
      </c>
      <c r="M83" s="99" t="e">
        <f>VLOOKUP(G83,Dataset!F:H,3,0)</f>
        <v>#N/A</v>
      </c>
      <c r="N83" s="176" t="s">
        <v>202</v>
      </c>
    </row>
    <row r="84" spans="1:16" s="108" customFormat="1" ht="50" hidden="1">
      <c r="A84" s="237">
        <v>46098.65829861111</v>
      </c>
      <c r="B84" s="196" t="s">
        <v>808</v>
      </c>
      <c r="C84" s="196" t="s">
        <v>809</v>
      </c>
      <c r="D84" s="196" t="s">
        <v>147</v>
      </c>
      <c r="E84" s="196" t="s">
        <v>52</v>
      </c>
      <c r="F84" s="196" t="s">
        <v>810</v>
      </c>
      <c r="G84" s="196" t="s">
        <v>811</v>
      </c>
      <c r="H84" s="196" t="s">
        <v>164</v>
      </c>
      <c r="I84" s="196"/>
      <c r="J84" s="196" t="s">
        <v>216</v>
      </c>
      <c r="K84" s="100" t="str">
        <f>VLOOKUP(G84,Dataset!F:H,2,0)</f>
        <v>IISc Bangalore</v>
      </c>
      <c r="L84" s="196" t="s">
        <v>174</v>
      </c>
      <c r="M84" s="99" t="str">
        <f>VLOOKUP(G84,Dataset!F:H,3,0)</f>
        <v>TG 3 Design and Demonstration of a Highly Scalable Quantum Computer using Semiconducting Qubits</v>
      </c>
      <c r="N84" s="176" t="s">
        <v>202</v>
      </c>
      <c r="O84"/>
    </row>
    <row r="85" spans="1:16" s="108" customFormat="1" ht="37.5" hidden="1">
      <c r="A85" s="237">
        <v>46098.705000000002</v>
      </c>
      <c r="B85" s="196" t="s">
        <v>815</v>
      </c>
      <c r="C85" s="196" t="s">
        <v>816</v>
      </c>
      <c r="D85" s="196" t="s">
        <v>147</v>
      </c>
      <c r="E85" s="196" t="s">
        <v>104</v>
      </c>
      <c r="F85" s="196" t="s">
        <v>817</v>
      </c>
      <c r="G85" s="196" t="s">
        <v>818</v>
      </c>
      <c r="H85" s="196" t="s">
        <v>164</v>
      </c>
      <c r="I85" s="196"/>
      <c r="J85" s="196" t="s">
        <v>143</v>
      </c>
      <c r="K85" s="100" t="e">
        <f>VLOOKUP(G85,Dataset!F:H,2,0)</f>
        <v>#N/A</v>
      </c>
      <c r="L85" s="196" t="s">
        <v>819</v>
      </c>
      <c r="M85" s="99" t="e">
        <f>VLOOKUP(G85,Dataset!F:H,3,0)</f>
        <v>#N/A</v>
      </c>
      <c r="N85" s="176" t="s">
        <v>820</v>
      </c>
      <c r="O85"/>
    </row>
    <row r="86" spans="1:16" ht="37.5" hidden="1">
      <c r="A86" s="237">
        <v>46098.789282407408</v>
      </c>
      <c r="B86" s="196" t="s">
        <v>821</v>
      </c>
      <c r="C86" s="196" t="s">
        <v>482</v>
      </c>
      <c r="D86" s="196" t="s">
        <v>147</v>
      </c>
      <c r="E86" s="196" t="s">
        <v>52</v>
      </c>
      <c r="F86" s="196" t="s">
        <v>822</v>
      </c>
      <c r="G86" s="196" t="s">
        <v>823</v>
      </c>
      <c r="H86" s="196" t="s">
        <v>164</v>
      </c>
      <c r="I86" s="196"/>
      <c r="J86" s="196" t="s">
        <v>263</v>
      </c>
      <c r="K86" s="100" t="str">
        <f>VLOOKUP(G86,Dataset!F:H,2,0)</f>
        <v>IISc Bangalore</v>
      </c>
      <c r="L86" s="176" t="str">
        <f>K86</f>
        <v>IISc Bangalore</v>
      </c>
      <c r="M86" s="99" t="str">
        <f>VLOOKUP(G86,Dataset!F:H,3,0)</f>
        <v>TG 5 Quantum computers with Superconducting Qubits</v>
      </c>
      <c r="N86" s="176" t="str">
        <f>M86</f>
        <v>TG 5 Quantum computers with Superconducting Qubits</v>
      </c>
    </row>
    <row r="87" spans="1:16" ht="37.5" hidden="1">
      <c r="A87" s="237">
        <v>46098.792025462964</v>
      </c>
      <c r="B87" s="196" t="s">
        <v>824</v>
      </c>
      <c r="C87" s="196" t="s">
        <v>825</v>
      </c>
      <c r="D87" s="196" t="s">
        <v>147</v>
      </c>
      <c r="E87" s="196" t="s">
        <v>52</v>
      </c>
      <c r="F87" s="196" t="s">
        <v>826</v>
      </c>
      <c r="G87" s="196" t="s">
        <v>827</v>
      </c>
      <c r="H87" s="196" t="s">
        <v>262</v>
      </c>
      <c r="I87" s="196"/>
      <c r="J87" s="196" t="s">
        <v>173</v>
      </c>
      <c r="K87" s="100" t="str">
        <f>VLOOKUP(G87,Dataset!F:H,2,0)</f>
        <v>IISc Bangalore</v>
      </c>
      <c r="L87" s="176" t="str">
        <f>K87</f>
        <v>IISc Bangalore</v>
      </c>
      <c r="M87" s="99" t="str">
        <f>VLOOKUP(G87,Dataset!F:H,3,0)</f>
        <v>TG 5 Quantum computers with Superconducting Qubits</v>
      </c>
      <c r="N87" s="176" t="str">
        <f>M87</f>
        <v>TG 5 Quantum computers with Superconducting Qubits</v>
      </c>
    </row>
    <row r="88" spans="1:16" ht="37.5" hidden="1">
      <c r="A88" s="237">
        <v>46098.86614583333</v>
      </c>
      <c r="B88" s="196" t="s">
        <v>829</v>
      </c>
      <c r="C88" s="196" t="s">
        <v>830</v>
      </c>
      <c r="D88" s="196" t="s">
        <v>147</v>
      </c>
      <c r="E88" s="196" t="s">
        <v>52</v>
      </c>
      <c r="F88" s="196" t="s">
        <v>831</v>
      </c>
      <c r="G88" s="196" t="s">
        <v>832</v>
      </c>
      <c r="H88" s="196" t="s">
        <v>164</v>
      </c>
      <c r="I88" s="196"/>
      <c r="J88" s="196" t="s">
        <v>653</v>
      </c>
      <c r="K88" s="100" t="str">
        <f>VLOOKUP(G88,Dataset!F:H,2,0)</f>
        <v>IISc Bangalore</v>
      </c>
      <c r="L88" s="176" t="str">
        <f>K88</f>
        <v>IISc Bangalore</v>
      </c>
      <c r="M88" s="99" t="str">
        <f>VLOOKUP(G88,Dataset!F:H,3,0)</f>
        <v>TG 6 Quantum Computing with Neutral Atoms, Trapped Ions and Related Hybrid Systems</v>
      </c>
      <c r="N88" s="176" t="str">
        <f>M88</f>
        <v>TG 6 Quantum Computing with Neutral Atoms, Trapped Ions and Related Hybrid Systems</v>
      </c>
    </row>
    <row r="89" spans="1:16" s="103" customFormat="1" ht="37.5" hidden="1">
      <c r="A89" s="237">
        <v>46098.972372685188</v>
      </c>
      <c r="B89" s="196" t="s">
        <v>836</v>
      </c>
      <c r="C89" s="196" t="s">
        <v>837</v>
      </c>
      <c r="D89" s="196" t="s">
        <v>147</v>
      </c>
      <c r="E89" s="196" t="s">
        <v>52</v>
      </c>
      <c r="F89" s="196" t="s">
        <v>838</v>
      </c>
      <c r="G89" s="196" t="s">
        <v>839</v>
      </c>
      <c r="H89" s="196" t="s">
        <v>164</v>
      </c>
      <c r="I89" s="196"/>
      <c r="J89" s="196" t="s">
        <v>173</v>
      </c>
      <c r="K89" s="100" t="str">
        <f>VLOOKUP(G89,Dataset!F:H,2,0)</f>
        <v>IISc Bangalore</v>
      </c>
      <c r="L89" s="176" t="str">
        <f>K89</f>
        <v>IISc Bangalore</v>
      </c>
      <c r="M89" s="99" t="str">
        <f>VLOOKUP(G89,Dataset!F:H,3,0)</f>
        <v>TG 5 Quantum computers with Superconducting Qubits</v>
      </c>
      <c r="N89" s="176" t="str">
        <f>M89</f>
        <v>TG 5 Quantum computers with Superconducting Qubits</v>
      </c>
      <c r="O89" s="176"/>
      <c r="P89" s="164"/>
    </row>
    <row r="90" spans="1:16" s="108" customFormat="1" ht="37.5" hidden="1">
      <c r="A90" s="237">
        <v>46099.317615740743</v>
      </c>
      <c r="B90" s="196" t="s">
        <v>840</v>
      </c>
      <c r="C90" s="196" t="s">
        <v>841</v>
      </c>
      <c r="D90" s="196" t="s">
        <v>147</v>
      </c>
      <c r="E90" s="196" t="s">
        <v>52</v>
      </c>
      <c r="F90" s="196" t="s">
        <v>842</v>
      </c>
      <c r="G90" s="196" t="s">
        <v>843</v>
      </c>
      <c r="H90" s="196" t="s">
        <v>262</v>
      </c>
      <c r="I90" s="196"/>
      <c r="J90" s="196" t="s">
        <v>182</v>
      </c>
      <c r="K90" s="100" t="e">
        <f>VLOOKUP(G90,Dataset!F:H,2,0)</f>
        <v>#N/A</v>
      </c>
      <c r="L90" s="196" t="s">
        <v>174</v>
      </c>
      <c r="M90" s="99" t="e">
        <f>VLOOKUP(G90,Dataset!F:H,3,0)</f>
        <v>#N/A</v>
      </c>
      <c r="N90" s="176" t="s">
        <v>408</v>
      </c>
      <c r="O90"/>
    </row>
    <row r="91" spans="1:16" ht="37.5" hidden="1">
      <c r="A91" s="237">
        <v>46099.413738425923</v>
      </c>
      <c r="B91" s="196" t="s">
        <v>844</v>
      </c>
      <c r="C91" s="196" t="s">
        <v>845</v>
      </c>
      <c r="D91" s="196" t="s">
        <v>147</v>
      </c>
      <c r="E91" s="196" t="s">
        <v>104</v>
      </c>
      <c r="F91" s="196" t="s">
        <v>846</v>
      </c>
      <c r="G91" s="196" t="s">
        <v>847</v>
      </c>
      <c r="H91" s="196" t="s">
        <v>262</v>
      </c>
      <c r="I91" s="196"/>
      <c r="J91" s="196" t="s">
        <v>158</v>
      </c>
      <c r="K91" s="100" t="str">
        <f>VLOOKUP(G91,Dataset!F:H,2,0)</f>
        <v>IIT Bombay</v>
      </c>
      <c r="L91" s="196" t="s">
        <v>144</v>
      </c>
      <c r="M91" s="99" t="str">
        <f>VLOOKUP(G91,Dataset!F:H,3,0)</f>
        <v>TG 1 Anand Jha</v>
      </c>
      <c r="N91" s="290" t="str">
        <f>M91</f>
        <v>TG 1 Anand Jha</v>
      </c>
    </row>
    <row r="92" spans="1:16" s="103" customFormat="1" ht="25">
      <c r="A92" s="268">
        <v>46105.381597222222</v>
      </c>
      <c r="B92" s="195" t="s">
        <v>1579</v>
      </c>
      <c r="C92" s="195" t="s">
        <v>212</v>
      </c>
      <c r="D92" s="195" t="s">
        <v>147</v>
      </c>
      <c r="E92" s="176"/>
      <c r="F92" s="195" t="s">
        <v>1580</v>
      </c>
      <c r="G92" s="195" t="s">
        <v>1019</v>
      </c>
      <c r="H92" s="195" t="s">
        <v>151</v>
      </c>
      <c r="I92" s="176" t="s">
        <v>52</v>
      </c>
      <c r="J92" s="195" t="s">
        <v>223</v>
      </c>
      <c r="K92" s="102" t="str">
        <f>VLOOKUP(G92,Dataset!F:H,2,0)</f>
        <v>IISc Bangalore</v>
      </c>
      <c r="L92" s="196" t="s">
        <v>174</v>
      </c>
      <c r="M92" s="176"/>
      <c r="N92" s="176"/>
      <c r="O92" s="176"/>
      <c r="P92" s="164"/>
    </row>
    <row r="93" spans="1:16" ht="37.5">
      <c r="A93" s="268">
        <v>46105.640752314815</v>
      </c>
      <c r="B93" s="195" t="s">
        <v>1583</v>
      </c>
      <c r="C93" s="195" t="s">
        <v>1584</v>
      </c>
      <c r="D93" s="195" t="s">
        <v>401</v>
      </c>
      <c r="E93" s="176"/>
      <c r="F93" s="195" t="s">
        <v>1586</v>
      </c>
      <c r="G93" s="195" t="s">
        <v>1585</v>
      </c>
      <c r="H93" s="195" t="s">
        <v>472</v>
      </c>
      <c r="I93" s="195" t="s">
        <v>1652</v>
      </c>
      <c r="J93" s="195" t="s">
        <v>1653</v>
      </c>
      <c r="K93" s="102" t="e">
        <f>VLOOKUP(G93,Dataset!F:H,2,0)</f>
        <v>#N/A</v>
      </c>
      <c r="L93" s="176" t="s">
        <v>93</v>
      </c>
      <c r="M93" s="176"/>
      <c r="N93" s="176"/>
      <c r="O93" t="s">
        <v>1702</v>
      </c>
    </row>
    <row r="94" spans="1:16" ht="37.5">
      <c r="A94" s="268">
        <v>46105.747060185182</v>
      </c>
      <c r="B94" s="195" t="s">
        <v>1654</v>
      </c>
      <c r="C94" s="195" t="s">
        <v>1655</v>
      </c>
      <c r="D94" s="195" t="s">
        <v>401</v>
      </c>
      <c r="E94" s="176"/>
      <c r="F94" s="195" t="s">
        <v>1656</v>
      </c>
      <c r="G94" s="195" t="s">
        <v>1657</v>
      </c>
      <c r="H94" s="195" t="s">
        <v>1658</v>
      </c>
      <c r="I94" s="195" t="s">
        <v>1659</v>
      </c>
      <c r="J94" s="195" t="s">
        <v>1660</v>
      </c>
      <c r="K94" s="102" t="e">
        <f>VLOOKUP(G94,Dataset!F:H,2,0)</f>
        <v>#N/A</v>
      </c>
      <c r="L94" s="176" t="s">
        <v>93</v>
      </c>
      <c r="M94" s="176"/>
      <c r="N94" s="291"/>
      <c r="O94" t="s">
        <v>1703</v>
      </c>
    </row>
    <row r="95" spans="1:16" ht="25" hidden="1">
      <c r="A95" s="268">
        <v>46105.922905092593</v>
      </c>
      <c r="B95" s="195" t="s">
        <v>1665</v>
      </c>
      <c r="C95" s="195" t="s">
        <v>212</v>
      </c>
      <c r="D95" s="195" t="s">
        <v>147</v>
      </c>
      <c r="E95" s="176"/>
      <c r="F95" s="195" t="s">
        <v>1666</v>
      </c>
      <c r="G95" s="195" t="s">
        <v>1613</v>
      </c>
      <c r="H95" s="195" t="s">
        <v>164</v>
      </c>
      <c r="I95" s="195"/>
      <c r="J95" s="195" t="s">
        <v>143</v>
      </c>
      <c r="K95" s="102" t="e">
        <f>VLOOKUP(G95,Dataset!F:H,2,0)</f>
        <v>#N/A</v>
      </c>
      <c r="L95" s="196" t="s">
        <v>220</v>
      </c>
      <c r="M95" s="176"/>
      <c r="N95" s="176" t="s">
        <v>210</v>
      </c>
    </row>
    <row r="96" spans="1:16" s="108" customFormat="1" ht="50">
      <c r="A96" s="268">
        <v>46105.964432870373</v>
      </c>
      <c r="B96" s="195" t="s">
        <v>1667</v>
      </c>
      <c r="C96" s="195" t="s">
        <v>1668</v>
      </c>
      <c r="D96" s="195" t="s">
        <v>401</v>
      </c>
      <c r="E96" s="176"/>
      <c r="F96" s="195" t="s">
        <v>1669</v>
      </c>
      <c r="G96" s="195" t="s">
        <v>1670</v>
      </c>
      <c r="H96" s="195" t="s">
        <v>1671</v>
      </c>
      <c r="I96" s="195" t="s">
        <v>696</v>
      </c>
      <c r="J96" s="195" t="s">
        <v>1672</v>
      </c>
      <c r="K96" s="102" t="e">
        <f>VLOOKUP(G96,Dataset!F:H,2,0)</f>
        <v>#N/A</v>
      </c>
      <c r="L96" s="176" t="s">
        <v>93</v>
      </c>
      <c r="M96" s="176"/>
      <c r="N96" s="176"/>
      <c r="O96" t="s">
        <v>2495</v>
      </c>
    </row>
    <row r="97" spans="1:16" s="103" customFormat="1" ht="25" hidden="1">
      <c r="A97" s="268">
        <v>46106.718761574077</v>
      </c>
      <c r="B97" s="195" t="s">
        <v>1673</v>
      </c>
      <c r="C97" s="195" t="s">
        <v>442</v>
      </c>
      <c r="D97" s="195" t="s">
        <v>147</v>
      </c>
      <c r="E97" s="176"/>
      <c r="F97" s="195" t="s">
        <v>1674</v>
      </c>
      <c r="G97" s="195" t="s">
        <v>1675</v>
      </c>
      <c r="H97" s="195" t="s">
        <v>164</v>
      </c>
      <c r="I97" s="195"/>
      <c r="J97" s="195" t="s">
        <v>143</v>
      </c>
      <c r="K97" s="102" t="e">
        <f>VLOOKUP(G97,Dataset!F:H,2,0)</f>
        <v>#N/A</v>
      </c>
      <c r="L97" s="195" t="s">
        <v>220</v>
      </c>
      <c r="M97" s="176"/>
      <c r="N97" s="285" t="s">
        <v>210</v>
      </c>
      <c r="O97" s="285"/>
      <c r="P97" s="164"/>
    </row>
    <row r="98" spans="1:16" s="108" customFormat="1" ht="25" hidden="1">
      <c r="A98" s="268">
        <v>46106.722627314812</v>
      </c>
      <c r="B98" s="195" t="s">
        <v>1676</v>
      </c>
      <c r="C98" s="195" t="s">
        <v>1677</v>
      </c>
      <c r="D98" s="195" t="s">
        <v>147</v>
      </c>
      <c r="E98" s="176"/>
      <c r="F98" s="195" t="s">
        <v>1678</v>
      </c>
      <c r="G98" s="195" t="s">
        <v>1679</v>
      </c>
      <c r="H98" s="195" t="s">
        <v>262</v>
      </c>
      <c r="I98" s="195"/>
      <c r="J98" s="195" t="s">
        <v>143</v>
      </c>
      <c r="K98" s="102" t="e">
        <f>VLOOKUP(G98,Dataset!F:H,2,0)</f>
        <v>#N/A</v>
      </c>
      <c r="L98" s="195" t="s">
        <v>220</v>
      </c>
      <c r="M98" s="176"/>
      <c r="N98" s="176" t="s">
        <v>1169</v>
      </c>
      <c r="O98"/>
    </row>
    <row r="99" spans="1:16" ht="25" hidden="1">
      <c r="A99" s="268">
        <v>46106.723587962966</v>
      </c>
      <c r="B99" s="195" t="s">
        <v>1680</v>
      </c>
      <c r="C99" s="195" t="s">
        <v>258</v>
      </c>
      <c r="D99" s="195" t="s">
        <v>147</v>
      </c>
      <c r="E99" s="176"/>
      <c r="F99" s="195" t="s">
        <v>1681</v>
      </c>
      <c r="G99" s="195" t="s">
        <v>1682</v>
      </c>
      <c r="H99" s="195" t="s">
        <v>151</v>
      </c>
      <c r="I99" s="195"/>
      <c r="J99" s="195" t="s">
        <v>158</v>
      </c>
      <c r="K99" s="102" t="e">
        <f>VLOOKUP(G99,Dataset!F:H,2,0)</f>
        <v>#N/A</v>
      </c>
      <c r="L99" s="195" t="s">
        <v>220</v>
      </c>
      <c r="M99" s="176"/>
      <c r="N99" s="291" t="s">
        <v>1169</v>
      </c>
    </row>
    <row r="100" spans="1:16" ht="25">
      <c r="A100" s="268">
        <v>46106.729861111111</v>
      </c>
      <c r="B100" s="195" t="s">
        <v>1683</v>
      </c>
      <c r="C100" s="195" t="s">
        <v>1684</v>
      </c>
      <c r="D100" s="195" t="s">
        <v>147</v>
      </c>
      <c r="E100" s="176"/>
      <c r="F100" s="195" t="s">
        <v>1685</v>
      </c>
      <c r="G100" s="195" t="s">
        <v>1145</v>
      </c>
      <c r="H100" s="195" t="s">
        <v>262</v>
      </c>
      <c r="I100" s="195"/>
      <c r="J100" s="195" t="s">
        <v>143</v>
      </c>
      <c r="K100" s="102" t="str">
        <f>VLOOKUP(G100,Dataset!F:H,2,0)</f>
        <v>IIT Delhi</v>
      </c>
      <c r="L100" s="195" t="s">
        <v>220</v>
      </c>
      <c r="M100" s="176"/>
      <c r="N100" s="176"/>
    </row>
    <row r="101" spans="1:16" ht="25">
      <c r="A101" s="268">
        <v>46106.739548611113</v>
      </c>
      <c r="B101" s="195" t="s">
        <v>1686</v>
      </c>
      <c r="C101" s="195" t="s">
        <v>1687</v>
      </c>
      <c r="D101" s="195" t="s">
        <v>147</v>
      </c>
      <c r="E101" s="176"/>
      <c r="F101" s="195" t="s">
        <v>1688</v>
      </c>
      <c r="G101" s="195" t="s">
        <v>1123</v>
      </c>
      <c r="H101" s="195" t="s">
        <v>262</v>
      </c>
      <c r="I101" s="195"/>
      <c r="J101" s="195" t="s">
        <v>143</v>
      </c>
      <c r="K101" s="102" t="str">
        <f>VLOOKUP(G101,Dataset!F:H,2,0)</f>
        <v>IIT Delhi</v>
      </c>
      <c r="L101" s="195" t="s">
        <v>220</v>
      </c>
      <c r="M101" s="176"/>
      <c r="N101" s="176"/>
    </row>
    <row r="102" spans="1:16" ht="25">
      <c r="A102" s="268">
        <v>46106.743773148148</v>
      </c>
      <c r="B102" s="195" t="s">
        <v>1689</v>
      </c>
      <c r="C102" s="195" t="s">
        <v>1690</v>
      </c>
      <c r="D102" s="195" t="s">
        <v>147</v>
      </c>
      <c r="E102" s="176"/>
      <c r="F102" s="195" t="s">
        <v>1691</v>
      </c>
      <c r="G102" s="195" t="s">
        <v>1130</v>
      </c>
      <c r="H102" s="195" t="s">
        <v>262</v>
      </c>
      <c r="I102" s="195"/>
      <c r="J102" s="195" t="s">
        <v>216</v>
      </c>
      <c r="K102" s="102" t="str">
        <f>VLOOKUP(G102,Dataset!F:H,2,0)</f>
        <v>IIT Delhi</v>
      </c>
      <c r="L102" s="195" t="s">
        <v>220</v>
      </c>
      <c r="M102" s="176"/>
      <c r="N102" s="176"/>
    </row>
    <row r="103" spans="1:16" s="103" customFormat="1" ht="25">
      <c r="A103" s="268">
        <v>46107.739918981482</v>
      </c>
      <c r="B103" s="195" t="s">
        <v>252</v>
      </c>
      <c r="C103" s="195" t="s">
        <v>1696</v>
      </c>
      <c r="D103" s="195" t="s">
        <v>147</v>
      </c>
      <c r="E103" s="195"/>
      <c r="F103" s="195" t="s">
        <v>1697</v>
      </c>
      <c r="G103" s="195" t="s">
        <v>1180</v>
      </c>
      <c r="H103" s="195" t="s">
        <v>151</v>
      </c>
      <c r="I103" s="195"/>
      <c r="J103" s="195" t="s">
        <v>158</v>
      </c>
      <c r="K103" s="102" t="str">
        <f>VLOOKUP(G103,Dataset!F:H,2,0)</f>
        <v>IIT Delhi</v>
      </c>
      <c r="L103" s="195" t="s">
        <v>220</v>
      </c>
      <c r="M103" s="176"/>
      <c r="N103" s="176"/>
      <c r="O103" s="176"/>
      <c r="P103" s="164"/>
    </row>
    <row r="104" spans="1:16" s="103" customFormat="1" ht="37.5">
      <c r="A104" s="268">
        <v>46107.924062500002</v>
      </c>
      <c r="B104" s="195" t="s">
        <v>1698</v>
      </c>
      <c r="C104" s="195" t="s">
        <v>1699</v>
      </c>
      <c r="D104" s="195" t="s">
        <v>401</v>
      </c>
      <c r="E104" s="195"/>
      <c r="F104" s="195" t="s">
        <v>1700</v>
      </c>
      <c r="G104" s="195" t="s">
        <v>98</v>
      </c>
      <c r="H104" s="195" t="s">
        <v>681</v>
      </c>
      <c r="I104" s="195" t="s">
        <v>930</v>
      </c>
      <c r="J104" s="195" t="s">
        <v>208</v>
      </c>
      <c r="K104" s="102" t="e">
        <f>VLOOKUP(G104,Dataset!F:H,2,0)</f>
        <v>#N/A</v>
      </c>
      <c r="L104" s="176" t="s">
        <v>93</v>
      </c>
      <c r="M104" s="176"/>
      <c r="N104" s="176"/>
      <c r="O104" t="s">
        <v>2495</v>
      </c>
      <c r="P104" s="164"/>
    </row>
    <row r="105" spans="1:16" s="103" customFormat="1" ht="25">
      <c r="A105" s="237">
        <v>46108.559224537035</v>
      </c>
      <c r="B105" s="196" t="s">
        <v>1800</v>
      </c>
      <c r="C105" s="196" t="s">
        <v>1801</v>
      </c>
      <c r="D105" s="196" t="s">
        <v>147</v>
      </c>
      <c r="E105" s="196"/>
      <c r="F105" s="196" t="s">
        <v>1802</v>
      </c>
      <c r="G105" s="196" t="s">
        <v>997</v>
      </c>
      <c r="H105" s="196" t="s">
        <v>151</v>
      </c>
      <c r="I105" s="196"/>
      <c r="J105" s="196" t="s">
        <v>363</v>
      </c>
      <c r="K105" s="276" t="s">
        <v>93</v>
      </c>
      <c r="L105" s="196"/>
      <c r="M105" s="196"/>
      <c r="N105" s="196"/>
      <c r="O105" s="196"/>
      <c r="P105" s="164"/>
    </row>
    <row r="106" spans="1:16" ht="25.5" thickBot="1">
      <c r="A106" s="237">
        <v>46108.625555555554</v>
      </c>
      <c r="B106" s="196" t="s">
        <v>1803</v>
      </c>
      <c r="C106" s="196" t="s">
        <v>679</v>
      </c>
      <c r="D106" s="196" t="s">
        <v>147</v>
      </c>
      <c r="E106" s="196"/>
      <c r="F106" s="196" t="s">
        <v>1804</v>
      </c>
      <c r="G106" s="196" t="s">
        <v>1037</v>
      </c>
      <c r="H106" s="196" t="s">
        <v>151</v>
      </c>
      <c r="I106" s="196"/>
      <c r="J106" s="196" t="s">
        <v>269</v>
      </c>
      <c r="K106" s="276" t="s">
        <v>112</v>
      </c>
      <c r="L106" s="196"/>
      <c r="M106" s="196"/>
      <c r="N106" s="200"/>
      <c r="O106" s="200"/>
    </row>
    <row r="107" spans="1:16" ht="25.5" thickBot="1">
      <c r="A107" s="517">
        <v>46080.479930555557</v>
      </c>
      <c r="B107" s="518" t="s">
        <v>183</v>
      </c>
      <c r="C107" s="518" t="s">
        <v>184</v>
      </c>
      <c r="D107" s="518" t="s">
        <v>147</v>
      </c>
      <c r="E107" s="518" t="s">
        <v>144</v>
      </c>
      <c r="F107" s="518" t="s">
        <v>185</v>
      </c>
      <c r="G107" s="645" t="s">
        <v>186</v>
      </c>
      <c r="H107" s="518" t="s">
        <v>187</v>
      </c>
      <c r="I107" s="518"/>
      <c r="J107" s="518" t="s">
        <v>143</v>
      </c>
      <c r="K107" s="100" t="e">
        <f>VLOOKUP(G107,Dataset!F:H,2,0)</f>
        <v>#N/A</v>
      </c>
      <c r="L107" s="19" t="s">
        <v>209</v>
      </c>
      <c r="M107" s="99" t="e">
        <f>VLOOKUP(G107,Dataset!F:H,3,0)</f>
        <v>#N/A</v>
      </c>
      <c r="N107" s="19"/>
      <c r="O107" s="19"/>
    </row>
    <row r="108" spans="1:16" s="108" customFormat="1" ht="50.5" hidden="1" thickBot="1">
      <c r="A108" s="267">
        <v>46079.797453703701</v>
      </c>
      <c r="B108" s="270" t="s">
        <v>129</v>
      </c>
      <c r="C108" s="270" t="s">
        <v>130</v>
      </c>
      <c r="D108" s="270" t="s">
        <v>131</v>
      </c>
      <c r="E108" s="270"/>
      <c r="F108" s="270" t="s">
        <v>132</v>
      </c>
      <c r="G108" s="274" t="s">
        <v>133</v>
      </c>
      <c r="H108" s="270" t="s">
        <v>134</v>
      </c>
      <c r="I108" s="270" t="s">
        <v>135</v>
      </c>
      <c r="J108" s="270" t="s">
        <v>136</v>
      </c>
      <c r="K108" s="111" t="e">
        <f>VLOOKUP(G108,Dataset!F:H,2,0)</f>
        <v>#N/A</v>
      </c>
      <c r="L108" s="284" t="s">
        <v>137</v>
      </c>
      <c r="M108" s="112" t="e">
        <f>VLOOKUP(G108,Dataset!F:H,3,0)</f>
        <v>#N/A</v>
      </c>
      <c r="N108" s="296" t="s">
        <v>134</v>
      </c>
      <c r="O108" s="296"/>
    </row>
    <row r="109" spans="1:16" s="103" customFormat="1" ht="25" hidden="1">
      <c r="A109" s="109">
        <v>46079.806747685187</v>
      </c>
      <c r="B109" s="110" t="s">
        <v>138</v>
      </c>
      <c r="C109" s="110" t="s">
        <v>139</v>
      </c>
      <c r="D109" s="110" t="s">
        <v>131</v>
      </c>
      <c r="E109" s="110"/>
      <c r="F109" s="110" t="s">
        <v>140</v>
      </c>
      <c r="G109" s="110" t="s">
        <v>141</v>
      </c>
      <c r="H109" s="110" t="s">
        <v>134</v>
      </c>
      <c r="I109" s="110" t="s">
        <v>142</v>
      </c>
      <c r="J109" s="110" t="s">
        <v>143</v>
      </c>
      <c r="K109" s="111" t="e">
        <f>VLOOKUP(G109,Dataset!F:H,2,0)</f>
        <v>#N/A</v>
      </c>
      <c r="L109" s="114" t="s">
        <v>144</v>
      </c>
      <c r="M109" s="112" t="e">
        <f>VLOOKUP(G109,Dataset!F:H,3,0)</f>
        <v>#N/A</v>
      </c>
      <c r="N109" s="115" t="s">
        <v>134</v>
      </c>
      <c r="O109" s="115"/>
      <c r="P109" s="164"/>
    </row>
    <row r="110" spans="1:16" s="103" customFormat="1" ht="25" hidden="1">
      <c r="A110" s="109">
        <v>46080.390682870369</v>
      </c>
      <c r="B110" s="110" t="s">
        <v>167</v>
      </c>
      <c r="C110" s="110" t="s">
        <v>168</v>
      </c>
      <c r="D110" s="110" t="s">
        <v>131</v>
      </c>
      <c r="E110" s="110"/>
      <c r="F110" s="110" t="s">
        <v>169</v>
      </c>
      <c r="G110" s="110" t="s">
        <v>170</v>
      </c>
      <c r="H110" s="110" t="s">
        <v>171</v>
      </c>
      <c r="I110" s="110" t="s">
        <v>172</v>
      </c>
      <c r="J110" s="110" t="s">
        <v>173</v>
      </c>
      <c r="K110" s="111" t="e">
        <f>VLOOKUP(G110,Dataset!F:H,2,0)</f>
        <v>#N/A</v>
      </c>
      <c r="L110" s="111" t="s">
        <v>174</v>
      </c>
      <c r="M110" s="112" t="e">
        <f>VLOOKUP(G110,Dataset!F:H,3,0)</f>
        <v>#N/A</v>
      </c>
      <c r="N110" s="111" t="s">
        <v>175</v>
      </c>
      <c r="O110" s="111"/>
      <c r="P110" s="164"/>
    </row>
    <row r="111" spans="1:16" s="108" customFormat="1" ht="38" hidden="1" thickBot="1">
      <c r="A111" s="267">
        <v>46080.39435185185</v>
      </c>
      <c r="B111" s="270" t="s">
        <v>176</v>
      </c>
      <c r="C111" s="270" t="s">
        <v>177</v>
      </c>
      <c r="D111" s="270" t="s">
        <v>178</v>
      </c>
      <c r="E111" s="270"/>
      <c r="F111" s="270" t="s">
        <v>179</v>
      </c>
      <c r="G111" s="270" t="s">
        <v>180</v>
      </c>
      <c r="H111" s="270" t="s">
        <v>134</v>
      </c>
      <c r="I111" s="270" t="s">
        <v>181</v>
      </c>
      <c r="J111" s="270" t="s">
        <v>182</v>
      </c>
      <c r="K111" s="279" t="e">
        <f>VLOOKUP(G111,Dataset!F:H,2,0)</f>
        <v>#N/A</v>
      </c>
      <c r="L111" s="297" t="s">
        <v>181</v>
      </c>
      <c r="M111" s="287" t="e">
        <f>VLOOKUP(G111,Dataset!F:H,3,0)</f>
        <v>#N/A</v>
      </c>
      <c r="N111" s="279" t="s">
        <v>175</v>
      </c>
      <c r="O111" s="279"/>
    </row>
    <row r="112" spans="1:16" ht="25.5" hidden="1" thickBot="1">
      <c r="A112" s="267">
        <v>46084.518333333333</v>
      </c>
      <c r="B112" s="270" t="s">
        <v>218</v>
      </c>
      <c r="C112" s="270" t="s">
        <v>219</v>
      </c>
      <c r="D112" s="270" t="s">
        <v>147</v>
      </c>
      <c r="E112" s="270" t="s">
        <v>220</v>
      </c>
      <c r="F112" s="270" t="s">
        <v>221</v>
      </c>
      <c r="G112" s="270" t="s">
        <v>222</v>
      </c>
      <c r="H112" s="270" t="s">
        <v>134</v>
      </c>
      <c r="I112" s="270"/>
      <c r="J112" s="270" t="s">
        <v>223</v>
      </c>
      <c r="K112" s="111" t="e">
        <f>VLOOKUP(G112,Dataset!F:H,2,0)</f>
        <v>#N/A</v>
      </c>
      <c r="L112" s="279" t="s">
        <v>209</v>
      </c>
      <c r="M112" s="112" t="e">
        <f>VLOOKUP(G112,Dataset!F:H,3,0)</f>
        <v>#N/A</v>
      </c>
      <c r="N112" s="279" t="s">
        <v>134</v>
      </c>
      <c r="O112" s="279"/>
    </row>
    <row r="113" spans="1:16" ht="25.5" hidden="1" thickBot="1">
      <c r="A113" s="267">
        <v>46085.564375000002</v>
      </c>
      <c r="B113" s="270" t="s">
        <v>281</v>
      </c>
      <c r="C113" s="270" t="s">
        <v>282</v>
      </c>
      <c r="D113" s="270" t="s">
        <v>131</v>
      </c>
      <c r="E113" s="270"/>
      <c r="F113" s="270" t="s">
        <v>283</v>
      </c>
      <c r="G113" s="270" t="s">
        <v>284</v>
      </c>
      <c r="H113" s="270" t="s">
        <v>285</v>
      </c>
      <c r="I113" s="270" t="s">
        <v>142</v>
      </c>
      <c r="J113" s="270" t="s">
        <v>143</v>
      </c>
      <c r="K113" s="111" t="e">
        <f>VLOOKUP(G113,Dataset!F:H,2,0)</f>
        <v>#N/A</v>
      </c>
      <c r="L113" s="279" t="s">
        <v>144</v>
      </c>
      <c r="M113" s="112" t="e">
        <f>VLOOKUP(G113,Dataset!F:H,3,0)</f>
        <v>#N/A</v>
      </c>
      <c r="N113" s="288" t="s">
        <v>43</v>
      </c>
      <c r="O113" s="288"/>
    </row>
    <row r="114" spans="1:16" s="108" customFormat="1" ht="25.5" hidden="1" thickBot="1">
      <c r="A114" s="267">
        <v>46086.980925925927</v>
      </c>
      <c r="B114" s="270" t="s">
        <v>371</v>
      </c>
      <c r="C114" s="270" t="s">
        <v>372</v>
      </c>
      <c r="D114" s="270" t="s">
        <v>147</v>
      </c>
      <c r="E114" s="270" t="s">
        <v>373</v>
      </c>
      <c r="F114" s="270" t="s">
        <v>374</v>
      </c>
      <c r="G114" s="270" t="s">
        <v>375</v>
      </c>
      <c r="H114" s="270" t="s">
        <v>376</v>
      </c>
      <c r="I114" s="270"/>
      <c r="J114" s="270" t="s">
        <v>158</v>
      </c>
      <c r="K114" s="111" t="e">
        <f>VLOOKUP(G114,Dataset!F:H,2,0)</f>
        <v>#N/A</v>
      </c>
      <c r="L114" s="279" t="s">
        <v>209</v>
      </c>
      <c r="M114" s="112" t="e">
        <f>VLOOKUP(G114,Dataset!F:H,3,0)</f>
        <v>#N/A</v>
      </c>
      <c r="N114" s="279" t="s">
        <v>43</v>
      </c>
      <c r="O114" s="279"/>
    </row>
    <row r="115" spans="1:16" s="108" customFormat="1" ht="25.5" hidden="1" thickBot="1">
      <c r="A115" s="267">
        <v>46091.523599537039</v>
      </c>
      <c r="B115" s="270" t="s">
        <v>496</v>
      </c>
      <c r="C115" s="270" t="s">
        <v>497</v>
      </c>
      <c r="D115" s="270" t="s">
        <v>147</v>
      </c>
      <c r="E115" s="270" t="s">
        <v>498</v>
      </c>
      <c r="F115" s="270" t="s">
        <v>499</v>
      </c>
      <c r="G115" s="270" t="s">
        <v>500</v>
      </c>
      <c r="H115" s="270" t="s">
        <v>134</v>
      </c>
      <c r="I115" s="270"/>
      <c r="J115" s="270" t="s">
        <v>173</v>
      </c>
      <c r="K115" s="111" t="e">
        <f>VLOOKUP(G115,Dataset!F:H,2,0)</f>
        <v>#N/A</v>
      </c>
      <c r="L115" s="279" t="s">
        <v>174</v>
      </c>
      <c r="M115" s="112" t="e">
        <f>VLOOKUP(G115,Dataset!F:H,3,0)</f>
        <v>#N/A</v>
      </c>
      <c r="N115" s="279" t="s">
        <v>134</v>
      </c>
      <c r="O115" s="279"/>
    </row>
    <row r="116" spans="1:16" ht="50.5" hidden="1" thickBot="1">
      <c r="A116" s="179">
        <v>46101.645462962966</v>
      </c>
      <c r="B116" s="180" t="s">
        <v>1487</v>
      </c>
      <c r="C116" s="180" t="s">
        <v>184</v>
      </c>
      <c r="D116" s="180" t="s">
        <v>178</v>
      </c>
      <c r="E116" s="180"/>
      <c r="F116" s="180" t="s">
        <v>1488</v>
      </c>
      <c r="G116" s="180" t="s">
        <v>1489</v>
      </c>
      <c r="H116" s="180" t="s">
        <v>1490</v>
      </c>
      <c r="I116" s="180" t="s">
        <v>1491</v>
      </c>
      <c r="J116" s="180" t="s">
        <v>136</v>
      </c>
      <c r="K116" s="102" t="e">
        <f>VLOOKUP(G116,Dataset!F:H,2,0)</f>
        <v>#N/A</v>
      </c>
      <c r="L116" s="286" t="s">
        <v>93</v>
      </c>
      <c r="M116" s="245"/>
      <c r="N116" s="113"/>
      <c r="O116" s="113"/>
    </row>
    <row r="117" spans="1:16" s="103" customFormat="1" ht="50" hidden="1">
      <c r="A117" s="236">
        <v>46101.645925925928</v>
      </c>
      <c r="B117" s="240" t="s">
        <v>1492</v>
      </c>
      <c r="C117" s="240" t="s">
        <v>1493</v>
      </c>
      <c r="D117" s="240" t="s">
        <v>178</v>
      </c>
      <c r="E117" s="240"/>
      <c r="F117" s="240" t="s">
        <v>1494</v>
      </c>
      <c r="G117" s="240" t="s">
        <v>1495</v>
      </c>
      <c r="H117" s="240" t="s">
        <v>1496</v>
      </c>
      <c r="I117" s="240" t="s">
        <v>135</v>
      </c>
      <c r="J117" s="240" t="s">
        <v>136</v>
      </c>
      <c r="K117" s="102" t="e">
        <f>VLOOKUP(G117,Dataset!F:H,2,0)</f>
        <v>#N/A</v>
      </c>
      <c r="L117" s="245" t="s">
        <v>93</v>
      </c>
      <c r="M117" s="245"/>
      <c r="N117" s="245"/>
      <c r="O117" s="245"/>
      <c r="P117" s="164"/>
    </row>
    <row r="118" spans="1:16" ht="25.5" hidden="1" thickBot="1">
      <c r="A118" s="179">
        <v>46102.801504629628</v>
      </c>
      <c r="B118" s="180" t="s">
        <v>1524</v>
      </c>
      <c r="C118" s="180" t="s">
        <v>1525</v>
      </c>
      <c r="D118" s="180" t="s">
        <v>131</v>
      </c>
      <c r="E118" s="273"/>
      <c r="F118" s="180" t="s">
        <v>1526</v>
      </c>
      <c r="G118" s="180" t="s">
        <v>1527</v>
      </c>
      <c r="H118" s="180" t="s">
        <v>187</v>
      </c>
      <c r="I118" s="180" t="s">
        <v>142</v>
      </c>
      <c r="J118" s="180" t="s">
        <v>143</v>
      </c>
      <c r="K118" s="102" t="e">
        <f>VLOOKUP(G118,Dataset!F:H,2,0)</f>
        <v>#N/A</v>
      </c>
      <c r="L118" s="199" t="s">
        <v>1701</v>
      </c>
      <c r="M118" s="176"/>
    </row>
    <row r="119" spans="1:16" ht="25.5" hidden="1" thickBot="1">
      <c r="A119" s="179">
        <v>46104.558587962965</v>
      </c>
      <c r="B119" s="180" t="s">
        <v>1528</v>
      </c>
      <c r="C119" s="180" t="s">
        <v>1529</v>
      </c>
      <c r="D119" s="180" t="s">
        <v>178</v>
      </c>
      <c r="E119" s="273"/>
      <c r="F119" s="180" t="s">
        <v>1530</v>
      </c>
      <c r="G119" s="180" t="s">
        <v>1531</v>
      </c>
      <c r="H119" s="180" t="s">
        <v>376</v>
      </c>
      <c r="I119" s="180" t="s">
        <v>220</v>
      </c>
      <c r="J119" s="180" t="s">
        <v>158</v>
      </c>
      <c r="K119" s="102" t="e">
        <f>VLOOKUP(G119,Dataset!F:H,2,0)</f>
        <v>#N/A</v>
      </c>
      <c r="L119" s="282" t="s">
        <v>220</v>
      </c>
      <c r="M119" s="176"/>
    </row>
    <row r="120" spans="1:16" ht="25.5" hidden="1" thickBot="1">
      <c r="A120" s="179">
        <v>46104.596898148149</v>
      </c>
      <c r="B120" s="180" t="s">
        <v>326</v>
      </c>
      <c r="C120" s="180" t="s">
        <v>1532</v>
      </c>
      <c r="D120" s="180" t="s">
        <v>178</v>
      </c>
      <c r="E120" s="273"/>
      <c r="F120" s="180" t="s">
        <v>1533</v>
      </c>
      <c r="G120" s="180" t="s">
        <v>1534</v>
      </c>
      <c r="H120" s="180" t="s">
        <v>813</v>
      </c>
      <c r="I120" s="180" t="s">
        <v>220</v>
      </c>
      <c r="J120" s="180" t="s">
        <v>158</v>
      </c>
      <c r="K120" s="102" t="e">
        <f>VLOOKUP(G120,Dataset!F:H,2,0)</f>
        <v>#N/A</v>
      </c>
      <c r="L120" s="282" t="s">
        <v>220</v>
      </c>
      <c r="M120" s="176"/>
    </row>
    <row r="121" spans="1:16" ht="25.5" hidden="1" thickBot="1">
      <c r="A121" s="179">
        <v>46104.695416666669</v>
      </c>
      <c r="B121" s="180" t="s">
        <v>1575</v>
      </c>
      <c r="C121" s="180" t="s">
        <v>1576</v>
      </c>
      <c r="D121" s="180" t="s">
        <v>178</v>
      </c>
      <c r="E121" s="272"/>
      <c r="F121" s="180" t="s">
        <v>1577</v>
      </c>
      <c r="G121" s="180" t="s">
        <v>1578</v>
      </c>
      <c r="H121" s="180" t="s">
        <v>813</v>
      </c>
      <c r="I121" s="180" t="s">
        <v>373</v>
      </c>
      <c r="J121" s="180" t="s">
        <v>223</v>
      </c>
      <c r="K121" s="102" t="e">
        <f>VLOOKUP(G121,Dataset!F:H,2,0)</f>
        <v>#N/A</v>
      </c>
      <c r="L121" s="282" t="s">
        <v>220</v>
      </c>
      <c r="M121" s="245"/>
      <c r="N121" s="113"/>
      <c r="O121" s="113"/>
    </row>
    <row r="122" spans="1:16" ht="25.5" thickBot="1">
      <c r="A122" s="58">
        <v>46080.647048611114</v>
      </c>
      <c r="B122" s="57" t="s">
        <v>188</v>
      </c>
      <c r="C122" s="57" t="s">
        <v>189</v>
      </c>
      <c r="D122" s="57" t="s">
        <v>147</v>
      </c>
      <c r="E122" s="57" t="s">
        <v>190</v>
      </c>
      <c r="F122" s="57" t="s">
        <v>191</v>
      </c>
      <c r="G122" s="57" t="s">
        <v>192</v>
      </c>
      <c r="H122" s="57" t="s">
        <v>193</v>
      </c>
      <c r="I122" s="57"/>
      <c r="J122" s="57" t="s">
        <v>152</v>
      </c>
      <c r="K122" s="100" t="e">
        <f>VLOOKUP(G122,Dataset!F:H,2,0)</f>
        <v>#N/A</v>
      </c>
      <c r="L122" s="100" t="s">
        <v>137</v>
      </c>
      <c r="M122" s="99" t="e">
        <f>VLOOKUP(G122,Dataset!F:H,3,0)</f>
        <v>#N/A</v>
      </c>
      <c r="N122" s="100"/>
      <c r="O122" s="100" t="s">
        <v>2483</v>
      </c>
      <c r="P122" s="285"/>
    </row>
    <row r="123" spans="1:16" ht="38" thickBot="1">
      <c r="A123" s="517">
        <v>46085.839814814812</v>
      </c>
      <c r="B123" s="518" t="s">
        <v>303</v>
      </c>
      <c r="C123" s="518" t="s">
        <v>189</v>
      </c>
      <c r="D123" s="518" t="s">
        <v>147</v>
      </c>
      <c r="E123" s="518" t="s">
        <v>304</v>
      </c>
      <c r="F123" s="518" t="s">
        <v>305</v>
      </c>
      <c r="G123" s="518" t="s">
        <v>306</v>
      </c>
      <c r="H123" s="518" t="s">
        <v>307</v>
      </c>
      <c r="I123" s="518"/>
      <c r="J123" s="518" t="s">
        <v>308</v>
      </c>
      <c r="K123" s="100" t="e">
        <f>VLOOKUP(G123,Dataset!F:H,2,0)</f>
        <v>#N/A</v>
      </c>
      <c r="L123" s="19" t="s">
        <v>209</v>
      </c>
      <c r="M123" s="99" t="e">
        <f>VLOOKUP(G123,Dataset!F:H,3,0)</f>
        <v>#N/A</v>
      </c>
      <c r="N123" s="19"/>
      <c r="O123" s="19" t="s">
        <v>2484</v>
      </c>
    </row>
    <row r="124" spans="1:16" ht="25.5" thickBot="1">
      <c r="A124" s="517">
        <v>46086.324212962965</v>
      </c>
      <c r="B124" s="518" t="s">
        <v>331</v>
      </c>
      <c r="C124" s="518" t="s">
        <v>212</v>
      </c>
      <c r="D124" s="518" t="s">
        <v>147</v>
      </c>
      <c r="E124" s="518" t="s">
        <v>299</v>
      </c>
      <c r="F124" s="518" t="s">
        <v>332</v>
      </c>
      <c r="G124" s="518" t="s">
        <v>333</v>
      </c>
      <c r="H124" s="518" t="s">
        <v>334</v>
      </c>
      <c r="I124" s="518"/>
      <c r="J124" s="518" t="s">
        <v>182</v>
      </c>
      <c r="K124" s="100" t="e">
        <f>VLOOKUP(G124,Dataset!F:H,2,0)</f>
        <v>#N/A</v>
      </c>
      <c r="L124" s="19" t="s">
        <v>209</v>
      </c>
      <c r="M124" s="99" t="e">
        <f>VLOOKUP(G124,Dataset!F:H,3,0)</f>
        <v>#N/A</v>
      </c>
      <c r="N124" s="19"/>
      <c r="O124" s="19" t="s">
        <v>2484</v>
      </c>
    </row>
    <row r="125" spans="1:16" ht="25.5" thickBot="1">
      <c r="A125" s="517">
        <v>46086.388877314814</v>
      </c>
      <c r="B125" s="518" t="s">
        <v>335</v>
      </c>
      <c r="C125" s="518" t="s">
        <v>336</v>
      </c>
      <c r="D125" s="518" t="s">
        <v>147</v>
      </c>
      <c r="E125" s="518" t="s">
        <v>337</v>
      </c>
      <c r="F125" s="518" t="s">
        <v>338</v>
      </c>
      <c r="G125" s="518" t="s">
        <v>339</v>
      </c>
      <c r="H125" s="518" t="s">
        <v>340</v>
      </c>
      <c r="I125" s="518"/>
      <c r="J125" s="518" t="s">
        <v>182</v>
      </c>
      <c r="K125" s="100" t="e">
        <f>VLOOKUP(G125,Dataset!F:H,2,0)</f>
        <v>#N/A</v>
      </c>
      <c r="L125" s="521" t="s">
        <v>209</v>
      </c>
      <c r="M125" s="99" t="e">
        <f>VLOOKUP(G125,Dataset!F:H,3,0)</f>
        <v>#N/A</v>
      </c>
      <c r="N125" s="19"/>
      <c r="O125" s="19" t="s">
        <v>2484</v>
      </c>
    </row>
    <row r="126" spans="1:16" ht="25.5" thickBot="1">
      <c r="A126" s="517">
        <v>46086.508414351854</v>
      </c>
      <c r="B126" s="518" t="s">
        <v>341</v>
      </c>
      <c r="C126" s="518" t="s">
        <v>342</v>
      </c>
      <c r="D126" s="518" t="s">
        <v>147</v>
      </c>
      <c r="E126" s="518" t="s">
        <v>190</v>
      </c>
      <c r="F126" s="518" t="s">
        <v>343</v>
      </c>
      <c r="G126" s="518" t="s">
        <v>344</v>
      </c>
      <c r="H126" s="518" t="s">
        <v>345</v>
      </c>
      <c r="I126" s="518"/>
      <c r="J126" s="518" t="s">
        <v>152</v>
      </c>
      <c r="K126" s="100" t="e">
        <f>VLOOKUP(G126,Dataset!F:H,2,0)</f>
        <v>#N/A</v>
      </c>
      <c r="L126" s="19" t="s">
        <v>137</v>
      </c>
      <c r="M126" s="99" t="e">
        <f>VLOOKUP(G126,Dataset!F:H,3,0)</f>
        <v>#N/A</v>
      </c>
      <c r="N126" s="19"/>
      <c r="O126" s="100" t="s">
        <v>2483</v>
      </c>
      <c r="P126" s="59"/>
    </row>
    <row r="127" spans="1:16" ht="38" thickBot="1">
      <c r="A127" s="517">
        <v>46086.648587962962</v>
      </c>
      <c r="B127" s="518" t="s">
        <v>346</v>
      </c>
      <c r="C127" s="518" t="s">
        <v>347</v>
      </c>
      <c r="D127" s="518" t="s">
        <v>147</v>
      </c>
      <c r="E127" s="518" t="s">
        <v>348</v>
      </c>
      <c r="F127" s="518" t="s">
        <v>349</v>
      </c>
      <c r="G127" s="518" t="s">
        <v>350</v>
      </c>
      <c r="H127" s="518" t="s">
        <v>351</v>
      </c>
      <c r="I127" s="518"/>
      <c r="J127" s="518" t="s">
        <v>251</v>
      </c>
      <c r="K127" s="100" t="e">
        <f>VLOOKUP(G127,Dataset!F:H,2,0)</f>
        <v>#N/A</v>
      </c>
      <c r="L127" s="19" t="s">
        <v>144</v>
      </c>
      <c r="M127" s="99" t="e">
        <f>VLOOKUP(G127,Dataset!F:H,3,0)</f>
        <v>#N/A</v>
      </c>
      <c r="N127" s="19"/>
      <c r="O127" s="19" t="s">
        <v>2485</v>
      </c>
    </row>
    <row r="128" spans="1:16" ht="25.5" thickBot="1">
      <c r="A128" s="58">
        <v>46086.649027777778</v>
      </c>
      <c r="B128" s="57" t="s">
        <v>352</v>
      </c>
      <c r="C128" s="57" t="s">
        <v>353</v>
      </c>
      <c r="D128" s="57" t="s">
        <v>147</v>
      </c>
      <c r="E128" s="57" t="s">
        <v>337</v>
      </c>
      <c r="F128" s="57" t="s">
        <v>354</v>
      </c>
      <c r="G128" s="57" t="s">
        <v>355</v>
      </c>
      <c r="H128" s="57" t="s">
        <v>356</v>
      </c>
      <c r="I128" s="57"/>
      <c r="J128" s="57" t="s">
        <v>182</v>
      </c>
      <c r="K128" s="100" t="e">
        <f>VLOOKUP(G128,Dataset!F:H,2,0)</f>
        <v>#N/A</v>
      </c>
      <c r="L128" s="100" t="s">
        <v>357</v>
      </c>
      <c r="M128" s="99" t="e">
        <f>VLOOKUP(G128,Dataset!F:H,3,0)</f>
        <v>#N/A</v>
      </c>
      <c r="N128" s="100"/>
      <c r="O128" s="19" t="s">
        <v>2484</v>
      </c>
      <c r="P128" s="176"/>
    </row>
    <row r="129" spans="1:16" ht="25.5" thickBot="1">
      <c r="A129" s="517">
        <v>46091.429560185185</v>
      </c>
      <c r="B129" s="518" t="s">
        <v>462</v>
      </c>
      <c r="C129" s="518" t="s">
        <v>463</v>
      </c>
      <c r="D129" s="518" t="s">
        <v>401</v>
      </c>
      <c r="E129" s="518"/>
      <c r="F129" s="518" t="s">
        <v>464</v>
      </c>
      <c r="G129" s="518" t="s">
        <v>465</v>
      </c>
      <c r="H129" s="518" t="s">
        <v>466</v>
      </c>
      <c r="I129" s="518" t="s">
        <v>467</v>
      </c>
      <c r="J129" s="518" t="s">
        <v>325</v>
      </c>
      <c r="K129" s="100" t="e">
        <f>VLOOKUP(G129,Dataset!F:H,2,0)</f>
        <v>#N/A</v>
      </c>
      <c r="L129" s="19" t="s">
        <v>144</v>
      </c>
      <c r="M129" s="99" t="e">
        <f>VLOOKUP(G129,Dataset!F:H,3,0)</f>
        <v>#N/A</v>
      </c>
      <c r="O129" s="19" t="s">
        <v>2486</v>
      </c>
    </row>
    <row r="130" spans="1:16" ht="25.5" thickBot="1">
      <c r="A130" s="517">
        <v>46091.435150462959</v>
      </c>
      <c r="B130" s="518" t="s">
        <v>468</v>
      </c>
      <c r="C130" s="518" t="s">
        <v>469</v>
      </c>
      <c r="D130" s="518" t="s">
        <v>401</v>
      </c>
      <c r="E130" s="518"/>
      <c r="F130" s="518" t="s">
        <v>470</v>
      </c>
      <c r="G130" s="518" t="s">
        <v>471</v>
      </c>
      <c r="H130" s="518" t="s">
        <v>472</v>
      </c>
      <c r="I130" s="518" t="s">
        <v>467</v>
      </c>
      <c r="J130" s="518" t="s">
        <v>325</v>
      </c>
      <c r="K130" s="100" t="e">
        <f>VLOOKUP(G130,Dataset!F:H,2,0)</f>
        <v>#N/A</v>
      </c>
      <c r="L130" s="521" t="s">
        <v>144</v>
      </c>
      <c r="M130" s="99" t="e">
        <f>VLOOKUP(G130,Dataset!F:H,3,0)</f>
        <v>#N/A</v>
      </c>
      <c r="N130" s="19"/>
      <c r="O130" s="19" t="s">
        <v>2486</v>
      </c>
    </row>
    <row r="131" spans="1:16" ht="25.5" thickBot="1">
      <c r="A131" s="517">
        <v>46091.458784722221</v>
      </c>
      <c r="B131" s="518" t="s">
        <v>487</v>
      </c>
      <c r="C131" s="518" t="s">
        <v>488</v>
      </c>
      <c r="D131" s="518" t="s">
        <v>147</v>
      </c>
      <c r="E131" s="518" t="s">
        <v>467</v>
      </c>
      <c r="F131" s="518" t="s">
        <v>489</v>
      </c>
      <c r="G131" s="518" t="s">
        <v>490</v>
      </c>
      <c r="H131" s="518" t="s">
        <v>491</v>
      </c>
      <c r="I131" s="518"/>
      <c r="J131" s="518" t="s">
        <v>325</v>
      </c>
      <c r="K131" s="100" t="e">
        <f>VLOOKUP(G131,Dataset!F:H,2,0)</f>
        <v>#N/A</v>
      </c>
      <c r="L131" s="521" t="s">
        <v>144</v>
      </c>
      <c r="M131" s="99" t="e">
        <f>VLOOKUP(G131,Dataset!F:H,3,0)</f>
        <v>#N/A</v>
      </c>
      <c r="N131" s="19"/>
      <c r="O131" s="19" t="s">
        <v>2486</v>
      </c>
    </row>
    <row r="132" spans="1:16" ht="38" thickBot="1">
      <c r="A132" s="517">
        <v>46091.781840277778</v>
      </c>
      <c r="B132" s="518" t="s">
        <v>530</v>
      </c>
      <c r="C132" s="518" t="s">
        <v>531</v>
      </c>
      <c r="D132" s="518" t="s">
        <v>401</v>
      </c>
      <c r="E132" s="518"/>
      <c r="F132" s="518" t="s">
        <v>532</v>
      </c>
      <c r="G132" s="518" t="s">
        <v>533</v>
      </c>
      <c r="H132" s="518" t="s">
        <v>534</v>
      </c>
      <c r="I132" s="518" t="s">
        <v>535</v>
      </c>
      <c r="J132" s="518" t="s">
        <v>143</v>
      </c>
      <c r="K132" s="100" t="e">
        <f>VLOOKUP(G132,Dataset!F:H,2,0)</f>
        <v>#N/A</v>
      </c>
      <c r="L132" s="19" t="s">
        <v>144</v>
      </c>
      <c r="M132" s="99" t="e">
        <f>VLOOKUP(G132,Dataset!F:H,3,0)</f>
        <v>#N/A</v>
      </c>
      <c r="N132" s="19"/>
      <c r="O132" s="19" t="s">
        <v>2487</v>
      </c>
    </row>
    <row r="133" spans="1:16" ht="38" thickBot="1">
      <c r="A133" s="517">
        <v>46091.965081018519</v>
      </c>
      <c r="B133" s="518" t="s">
        <v>481</v>
      </c>
      <c r="C133" s="518" t="s">
        <v>553</v>
      </c>
      <c r="D133" s="518" t="s">
        <v>401</v>
      </c>
      <c r="E133" s="518"/>
      <c r="F133" s="518" t="s">
        <v>554</v>
      </c>
      <c r="G133" s="518" t="s">
        <v>555</v>
      </c>
      <c r="H133" s="518" t="s">
        <v>556</v>
      </c>
      <c r="I133" s="518" t="s">
        <v>557</v>
      </c>
      <c r="J133" s="518" t="s">
        <v>143</v>
      </c>
      <c r="K133" s="100" t="e">
        <f>VLOOKUP(G133,Dataset!F:H,2,0)</f>
        <v>#N/A</v>
      </c>
      <c r="L133" s="521" t="s">
        <v>144</v>
      </c>
      <c r="M133" s="99" t="e">
        <f>VLOOKUP(G133,Dataset!F:H,3,0)</f>
        <v>#N/A</v>
      </c>
      <c r="N133" s="19"/>
      <c r="O133" s="19" t="s">
        <v>2487</v>
      </c>
    </row>
    <row r="134" spans="1:16" ht="38" thickBot="1">
      <c r="A134" s="58">
        <v>46091.966365740744</v>
      </c>
      <c r="B134" s="57" t="s">
        <v>558</v>
      </c>
      <c r="C134" s="57" t="s">
        <v>559</v>
      </c>
      <c r="D134" s="57" t="s">
        <v>401</v>
      </c>
      <c r="E134" s="57"/>
      <c r="F134" s="57" t="s">
        <v>560</v>
      </c>
      <c r="G134" s="57" t="s">
        <v>561</v>
      </c>
      <c r="H134" s="57" t="s">
        <v>556</v>
      </c>
      <c r="I134" s="57" t="s">
        <v>557</v>
      </c>
      <c r="J134" s="57" t="s">
        <v>143</v>
      </c>
      <c r="K134" s="100" t="e">
        <f>VLOOKUP(G134,Dataset!F:H,2,0)</f>
        <v>#N/A</v>
      </c>
      <c r="L134" s="100" t="s">
        <v>562</v>
      </c>
      <c r="M134" s="99" t="e">
        <f>VLOOKUP(G134,Dataset!F:H,3,0)</f>
        <v>#N/A</v>
      </c>
      <c r="N134" s="100"/>
      <c r="O134" s="19" t="s">
        <v>2487</v>
      </c>
      <c r="P134" s="176"/>
    </row>
    <row r="135" spans="1:16" ht="38" thickBot="1">
      <c r="A135" s="517">
        <v>46092.494791666664</v>
      </c>
      <c r="B135" s="518" t="s">
        <v>586</v>
      </c>
      <c r="C135" s="518" t="s">
        <v>587</v>
      </c>
      <c r="D135" s="518" t="s">
        <v>178</v>
      </c>
      <c r="E135" s="518"/>
      <c r="F135" s="518" t="s">
        <v>588</v>
      </c>
      <c r="G135" s="518" t="s">
        <v>589</v>
      </c>
      <c r="H135" s="518" t="s">
        <v>590</v>
      </c>
      <c r="I135" s="518" t="s">
        <v>591</v>
      </c>
      <c r="J135" s="518" t="s">
        <v>173</v>
      </c>
      <c r="K135" s="100" t="e">
        <f>VLOOKUP(G135,Dataset!F:H,2,0)</f>
        <v>#N/A</v>
      </c>
      <c r="L135" s="19" t="s">
        <v>174</v>
      </c>
      <c r="M135" s="99" t="e">
        <f>VLOOKUP(G135,Dataset!F:H,3,0)</f>
        <v>#N/A</v>
      </c>
      <c r="N135" s="19"/>
      <c r="O135" s="19" t="s">
        <v>2488</v>
      </c>
    </row>
    <row r="136" spans="1:16" ht="37.5">
      <c r="A136" s="58">
        <v>46092.634166666663</v>
      </c>
      <c r="B136" s="57" t="s">
        <v>599</v>
      </c>
      <c r="C136" s="57" t="s">
        <v>600</v>
      </c>
      <c r="D136" s="57" t="s">
        <v>178</v>
      </c>
      <c r="E136" s="57"/>
      <c r="F136" s="57" t="s">
        <v>601</v>
      </c>
      <c r="G136" s="57" t="s">
        <v>602</v>
      </c>
      <c r="H136" s="57" t="s">
        <v>603</v>
      </c>
      <c r="I136" s="57" t="s">
        <v>604</v>
      </c>
      <c r="J136" s="57" t="s">
        <v>136</v>
      </c>
      <c r="K136" s="100" t="e">
        <f>VLOOKUP(G136,Dataset!F:H,2,0)</f>
        <v>#N/A</v>
      </c>
      <c r="L136" s="100" t="s">
        <v>174</v>
      </c>
      <c r="M136" s="99" t="e">
        <f>VLOOKUP(G136,Dataset!F:H,3,0)</f>
        <v>#N/A</v>
      </c>
      <c r="N136" s="100"/>
      <c r="O136" s="100" t="s">
        <v>2489</v>
      </c>
      <c r="P136" s="176"/>
    </row>
    <row r="137" spans="1:16" ht="38" thickBot="1">
      <c r="A137" s="58">
        <v>46093.53361111111</v>
      </c>
      <c r="B137" s="57" t="s">
        <v>622</v>
      </c>
      <c r="C137" s="57" t="s">
        <v>623</v>
      </c>
      <c r="D137" s="57" t="s">
        <v>147</v>
      </c>
      <c r="E137" s="57" t="s">
        <v>624</v>
      </c>
      <c r="F137" s="57" t="s">
        <v>625</v>
      </c>
      <c r="G137" s="57" t="s">
        <v>626</v>
      </c>
      <c r="H137" s="57" t="s">
        <v>627</v>
      </c>
      <c r="I137" s="57"/>
      <c r="J137" s="57" t="s">
        <v>136</v>
      </c>
      <c r="K137" s="100" t="e">
        <f>VLOOKUP(G137,Dataset!F:H,2,0)</f>
        <v>#N/A</v>
      </c>
      <c r="L137" s="100" t="s">
        <v>403</v>
      </c>
      <c r="M137" s="99" t="e">
        <f>VLOOKUP(G137,Dataset!F:H,3,0)</f>
        <v>#N/A</v>
      </c>
      <c r="N137" s="100"/>
      <c r="O137" s="100" t="s">
        <v>1752</v>
      </c>
      <c r="P137" s="176"/>
    </row>
    <row r="138" spans="1:16" ht="25.5" thickBot="1">
      <c r="A138" s="517">
        <v>46093.735717592594</v>
      </c>
      <c r="B138" s="518" t="s">
        <v>654</v>
      </c>
      <c r="C138" s="518" t="s">
        <v>655</v>
      </c>
      <c r="D138" s="518" t="s">
        <v>147</v>
      </c>
      <c r="E138" s="518" t="s">
        <v>656</v>
      </c>
      <c r="F138" s="518" t="s">
        <v>657</v>
      </c>
      <c r="G138" s="518" t="s">
        <v>658</v>
      </c>
      <c r="H138" s="518" t="s">
        <v>659</v>
      </c>
      <c r="I138" s="518"/>
      <c r="J138" s="518" t="s">
        <v>143</v>
      </c>
      <c r="K138" s="100" t="e">
        <f>VLOOKUP(G138,Dataset!F:H,2,0)</f>
        <v>#N/A</v>
      </c>
      <c r="L138" s="521" t="s">
        <v>144</v>
      </c>
      <c r="M138" s="99" t="e">
        <f>VLOOKUP(G138,Dataset!F:H,3,0)</f>
        <v>#N/A</v>
      </c>
      <c r="N138" s="19"/>
      <c r="O138" s="19" t="s">
        <v>2490</v>
      </c>
    </row>
    <row r="139" spans="1:16" ht="25.5" thickBot="1">
      <c r="A139" s="517">
        <v>46093.752928240741</v>
      </c>
      <c r="B139" s="518" t="s">
        <v>660</v>
      </c>
      <c r="C139" s="518" t="s">
        <v>661</v>
      </c>
      <c r="D139" s="518" t="s">
        <v>147</v>
      </c>
      <c r="E139" s="518" t="s">
        <v>656</v>
      </c>
      <c r="F139" s="518" t="s">
        <v>662</v>
      </c>
      <c r="G139" s="518" t="s">
        <v>663</v>
      </c>
      <c r="H139" s="518" t="s">
        <v>664</v>
      </c>
      <c r="I139" s="518"/>
      <c r="J139" s="518" t="s">
        <v>143</v>
      </c>
      <c r="K139" s="100" t="e">
        <f>VLOOKUP(G139,Dataset!F:H,2,0)</f>
        <v>#N/A</v>
      </c>
      <c r="L139" s="521" t="s">
        <v>144</v>
      </c>
      <c r="M139" s="99" t="e">
        <f>VLOOKUP(G139,Dataset!F:H,3,0)</f>
        <v>#N/A</v>
      </c>
      <c r="N139" s="19"/>
      <c r="O139" s="19" t="s">
        <v>2490</v>
      </c>
    </row>
    <row r="140" spans="1:16" ht="25.5" thickBot="1">
      <c r="A140" s="58">
        <v>46093.89707175926</v>
      </c>
      <c r="B140" s="57" t="s">
        <v>665</v>
      </c>
      <c r="C140" s="57" t="s">
        <v>666</v>
      </c>
      <c r="D140" s="57" t="s">
        <v>401</v>
      </c>
      <c r="E140" s="57"/>
      <c r="F140" s="57" t="s">
        <v>667</v>
      </c>
      <c r="G140" s="57" t="s">
        <v>668</v>
      </c>
      <c r="H140" s="57" t="s">
        <v>556</v>
      </c>
      <c r="I140" s="57" t="s">
        <v>669</v>
      </c>
      <c r="J140" s="57" t="s">
        <v>251</v>
      </c>
      <c r="K140" s="100" t="e">
        <f>VLOOKUP(G140,Dataset!F:H,2,0)</f>
        <v>#N/A</v>
      </c>
      <c r="L140" s="100" t="s">
        <v>562</v>
      </c>
      <c r="M140" s="99" t="e">
        <f>VLOOKUP(G140,Dataset!F:H,3,0)</f>
        <v>#N/A</v>
      </c>
      <c r="N140" s="100"/>
      <c r="O140" s="100" t="s">
        <v>2491</v>
      </c>
      <c r="P140" s="176"/>
    </row>
    <row r="141" spans="1:16" s="108" customFormat="1" ht="38" hidden="1" thickBot="1">
      <c r="A141" s="120">
        <v>46098.402986111112</v>
      </c>
      <c r="B141" s="121" t="s">
        <v>773</v>
      </c>
      <c r="C141" s="121" t="s">
        <v>774</v>
      </c>
      <c r="D141" s="121" t="s">
        <v>178</v>
      </c>
      <c r="E141" s="244" t="s">
        <v>52</v>
      </c>
      <c r="F141" s="121" t="s">
        <v>775</v>
      </c>
      <c r="G141" s="121" t="s">
        <v>776</v>
      </c>
      <c r="H141" s="121" t="s">
        <v>584</v>
      </c>
      <c r="I141" s="121" t="s">
        <v>777</v>
      </c>
      <c r="J141" s="121" t="s">
        <v>173</v>
      </c>
      <c r="K141" s="102" t="e">
        <f>VLOOKUP(G141,Dataset!F:H,2,0)</f>
        <v>#N/A</v>
      </c>
      <c r="L141" s="244" t="s">
        <v>174</v>
      </c>
      <c r="M141" s="257" t="e">
        <f>VLOOKUP(G141,Dataset!F:H,3,0)</f>
        <v>#N/A</v>
      </c>
      <c r="N141" s="103"/>
      <c r="O141" s="103"/>
    </row>
    <row r="142" spans="1:16" ht="25.5" thickBot="1">
      <c r="A142" s="116">
        <v>46099.563032407408</v>
      </c>
      <c r="B142" s="117" t="s">
        <v>848</v>
      </c>
      <c r="C142" s="117" t="s">
        <v>849</v>
      </c>
      <c r="D142" s="117" t="s">
        <v>401</v>
      </c>
      <c r="E142" s="200"/>
      <c r="F142" s="117" t="s">
        <v>850</v>
      </c>
      <c r="G142" s="117" t="s">
        <v>851</v>
      </c>
      <c r="H142" s="117" t="s">
        <v>852</v>
      </c>
      <c r="I142" s="117" t="s">
        <v>328</v>
      </c>
      <c r="J142" s="117" t="s">
        <v>143</v>
      </c>
      <c r="K142" s="100" t="e">
        <f>VLOOKUP(G142,Dataset!F:H,2,0)</f>
        <v>#N/A</v>
      </c>
      <c r="L142" s="386" t="s">
        <v>144</v>
      </c>
      <c r="M142" s="167" t="e">
        <f>VLOOKUP(G142,Dataset!F:H,3,0)</f>
        <v>#N/A</v>
      </c>
      <c r="O142" t="s">
        <v>2487</v>
      </c>
    </row>
    <row r="143" spans="1:16" ht="25.5" thickBot="1">
      <c r="A143" s="116">
        <v>46100.480613425927</v>
      </c>
      <c r="B143" s="117" t="s">
        <v>853</v>
      </c>
      <c r="C143" s="117" t="s">
        <v>854</v>
      </c>
      <c r="D143" s="117" t="s">
        <v>147</v>
      </c>
      <c r="E143" s="200"/>
      <c r="F143" s="117" t="s">
        <v>855</v>
      </c>
      <c r="G143" s="117" t="s">
        <v>856</v>
      </c>
      <c r="H143" s="117" t="s">
        <v>857</v>
      </c>
      <c r="I143" s="117"/>
      <c r="J143" s="117" t="s">
        <v>653</v>
      </c>
      <c r="K143" s="100" t="e">
        <f>VLOOKUP(G143,Dataset!F:H,2,0)</f>
        <v>#N/A</v>
      </c>
      <c r="L143" s="255" t="s">
        <v>137</v>
      </c>
      <c r="M143" s="167" t="e">
        <f>VLOOKUP(G143,Dataset!F:H,3,0)</f>
        <v>#N/A</v>
      </c>
      <c r="O143" t="s">
        <v>2493</v>
      </c>
    </row>
    <row r="144" spans="1:16" ht="63" hidden="1" thickBot="1">
      <c r="A144" s="239">
        <v>46100.753032407411</v>
      </c>
      <c r="B144" s="242" t="s">
        <v>1387</v>
      </c>
      <c r="C144" s="242" t="s">
        <v>1388</v>
      </c>
      <c r="D144" s="242" t="s">
        <v>178</v>
      </c>
      <c r="E144" s="246"/>
      <c r="F144" s="242" t="s">
        <v>1389</v>
      </c>
      <c r="G144" s="242" t="s">
        <v>1390</v>
      </c>
      <c r="H144" s="242" t="s">
        <v>1391</v>
      </c>
      <c r="I144" s="247" t="s">
        <v>777</v>
      </c>
      <c r="J144" s="247" t="s">
        <v>1392</v>
      </c>
      <c r="K144" s="178" t="s">
        <v>93</v>
      </c>
      <c r="L144" s="254" t="str">
        <f>K144</f>
        <v>IITM CDOT Samgnya Technologies Foundation at IIT Madras</v>
      </c>
      <c r="M144" s="257" t="e">
        <f>VLOOKUP(G144,Dataset!F:H,3,0)</f>
        <v>#N/A</v>
      </c>
      <c r="N144" s="103"/>
      <c r="O144" s="103" t="s">
        <v>2494</v>
      </c>
    </row>
    <row r="145" spans="1:29" s="103" customFormat="1" ht="25.5" hidden="1" thickBot="1">
      <c r="A145" s="203">
        <v>46105.618287037039</v>
      </c>
      <c r="B145" s="204" t="s">
        <v>1647</v>
      </c>
      <c r="C145" s="204" t="s">
        <v>1648</v>
      </c>
      <c r="D145" s="204" t="s">
        <v>147</v>
      </c>
      <c r="E145" s="253"/>
      <c r="F145" s="204" t="s">
        <v>1649</v>
      </c>
      <c r="G145" s="204" t="s">
        <v>1650</v>
      </c>
      <c r="H145" s="204" t="s">
        <v>1651</v>
      </c>
      <c r="I145" s="204"/>
      <c r="J145" s="204" t="s">
        <v>263</v>
      </c>
      <c r="K145" s="102" t="e">
        <f>VLOOKUP(G145,Dataset!F:H,2,0)</f>
        <v>#N/A</v>
      </c>
    </row>
    <row r="146" spans="1:29" ht="25.5" hidden="1" thickBot="1">
      <c r="A146" s="203">
        <v>46105.747118055559</v>
      </c>
      <c r="B146" s="204" t="s">
        <v>1661</v>
      </c>
      <c r="C146" s="204" t="s">
        <v>611</v>
      </c>
      <c r="D146" s="204" t="s">
        <v>147</v>
      </c>
      <c r="E146" s="253"/>
      <c r="F146" s="204" t="s">
        <v>1662</v>
      </c>
      <c r="G146" s="204" t="s">
        <v>1663</v>
      </c>
      <c r="H146" s="204" t="s">
        <v>285</v>
      </c>
      <c r="I146" s="204"/>
      <c r="J146" s="204" t="s">
        <v>1664</v>
      </c>
      <c r="K146" s="278" t="e">
        <f>VLOOKUP(G146,Dataset!F:H,2,0)</f>
        <v>#N/A</v>
      </c>
      <c r="L146" s="253"/>
      <c r="M146" s="253"/>
      <c r="N146" s="253"/>
      <c r="O146" s="253"/>
      <c r="P146" s="117"/>
      <c r="Q146" s="117"/>
      <c r="R146" s="117"/>
      <c r="S146" s="117"/>
      <c r="T146" s="117"/>
      <c r="U146" s="117"/>
      <c r="V146" s="117"/>
      <c r="W146" s="117"/>
      <c r="X146" s="117"/>
      <c r="Y146" s="117"/>
      <c r="Z146" s="117"/>
      <c r="AA146" s="117"/>
      <c r="AB146" s="117"/>
      <c r="AC146" s="117"/>
    </row>
    <row r="147" spans="1:29" ht="25.5" thickBot="1">
      <c r="A147" s="116">
        <v>46110.736400462964</v>
      </c>
      <c r="B147" s="117" t="s">
        <v>636</v>
      </c>
      <c r="C147" s="117" t="s">
        <v>212</v>
      </c>
      <c r="D147" s="117" t="s">
        <v>131</v>
      </c>
      <c r="E147" s="117"/>
      <c r="F147" s="117" t="s">
        <v>1850</v>
      </c>
      <c r="G147" s="117" t="s">
        <v>1851</v>
      </c>
      <c r="H147" s="117" t="s">
        <v>1852</v>
      </c>
      <c r="I147" s="117" t="s">
        <v>1853</v>
      </c>
      <c r="J147" s="117" t="s">
        <v>143</v>
      </c>
      <c r="K147" s="235" t="s">
        <v>104</v>
      </c>
      <c r="L147" s="117"/>
      <c r="M147" s="117">
        <v>6.5059542566476298E+18</v>
      </c>
      <c r="N147" s="117"/>
      <c r="O147" s="117"/>
      <c r="P147" s="117"/>
      <c r="Q147" s="117"/>
      <c r="R147" s="117"/>
      <c r="S147" s="117"/>
      <c r="T147" s="117"/>
      <c r="U147" s="117"/>
      <c r="V147" s="117"/>
      <c r="W147" s="117"/>
      <c r="X147" s="117"/>
      <c r="Y147" s="117"/>
      <c r="Z147" s="117"/>
      <c r="AA147" s="117"/>
      <c r="AB147" s="117"/>
      <c r="AC147" s="117"/>
    </row>
    <row r="148" spans="1:29" ht="25.5" thickBot="1">
      <c r="A148" s="116">
        <v>46111.115405092591</v>
      </c>
      <c r="B148" s="117" t="s">
        <v>1854</v>
      </c>
      <c r="C148" s="117" t="s">
        <v>272</v>
      </c>
      <c r="D148" s="117" t="s">
        <v>147</v>
      </c>
      <c r="E148" s="117"/>
      <c r="F148" s="117" t="s">
        <v>1855</v>
      </c>
      <c r="G148" s="117" t="s">
        <v>934</v>
      </c>
      <c r="H148" s="117" t="s">
        <v>164</v>
      </c>
      <c r="I148" s="117"/>
      <c r="J148" s="117" t="s">
        <v>1856</v>
      </c>
      <c r="K148" s="235" t="s">
        <v>93</v>
      </c>
      <c r="L148" s="117"/>
      <c r="M148" s="117">
        <v>6.5062817125251195E+18</v>
      </c>
      <c r="N148" s="117"/>
      <c r="O148" s="117"/>
      <c r="P148" s="117"/>
      <c r="Q148" s="117"/>
      <c r="R148" s="117"/>
      <c r="S148" s="117"/>
      <c r="T148" s="117"/>
      <c r="U148" s="117"/>
      <c r="V148" s="117"/>
      <c r="W148" s="117"/>
      <c r="X148" s="117"/>
      <c r="Y148" s="117"/>
      <c r="Z148" s="117"/>
      <c r="AA148" s="117"/>
      <c r="AB148" s="117"/>
      <c r="AC148" s="117"/>
    </row>
    <row r="149" spans="1:29" ht="25.5" thickBot="1">
      <c r="A149" s="116">
        <v>46111.429212962961</v>
      </c>
      <c r="B149" s="117" t="s">
        <v>1857</v>
      </c>
      <c r="C149" s="117" t="s">
        <v>1858</v>
      </c>
      <c r="D149" s="117" t="s">
        <v>178</v>
      </c>
      <c r="E149" s="117"/>
      <c r="F149" s="117" t="s">
        <v>1859</v>
      </c>
      <c r="G149" s="117" t="s">
        <v>1079</v>
      </c>
      <c r="H149" s="117" t="s">
        <v>1860</v>
      </c>
      <c r="I149" s="117" t="s">
        <v>1861</v>
      </c>
      <c r="J149" s="117" t="s">
        <v>158</v>
      </c>
      <c r="K149" s="235" t="s">
        <v>93</v>
      </c>
      <c r="L149" s="117"/>
      <c r="M149" s="117">
        <v>6.5065528402118697E+18</v>
      </c>
      <c r="N149" s="117"/>
      <c r="O149" s="117"/>
      <c r="P149" s="117"/>
      <c r="Q149" s="117"/>
      <c r="R149" s="117"/>
      <c r="S149" s="117"/>
      <c r="T149" s="117"/>
      <c r="U149" s="117"/>
      <c r="V149" s="117"/>
      <c r="W149" s="117"/>
      <c r="X149" s="117"/>
      <c r="Y149" s="117"/>
      <c r="Z149" s="117"/>
      <c r="AA149" s="117"/>
      <c r="AB149" s="117"/>
      <c r="AC149" s="117"/>
    </row>
    <row r="150" spans="1:29" s="113" customFormat="1" hidden="1">
      <c r="B150" s="385" t="s">
        <v>2209</v>
      </c>
      <c r="C150" s="385" t="s">
        <v>2245</v>
      </c>
      <c r="I150" s="113" t="s">
        <v>2246</v>
      </c>
    </row>
    <row r="151" spans="1:29" ht="25.5" thickBot="1">
      <c r="B151" s="384" t="s">
        <v>2241</v>
      </c>
      <c r="C151" s="384" t="s">
        <v>2242</v>
      </c>
      <c r="D151" s="386" t="s">
        <v>2243</v>
      </c>
      <c r="E151" s="200" t="s">
        <v>2244</v>
      </c>
    </row>
    <row r="152" spans="1:29" ht="25.5" thickBot="1">
      <c r="A152" s="116">
        <v>46111.459363425929</v>
      </c>
      <c r="B152" s="117" t="s">
        <v>2252</v>
      </c>
      <c r="C152" s="117" t="s">
        <v>2253</v>
      </c>
      <c r="D152" s="117" t="s">
        <v>147</v>
      </c>
      <c r="E152" s="117"/>
      <c r="F152" s="117" t="s">
        <v>2254</v>
      </c>
      <c r="G152" s="117" t="s">
        <v>2255</v>
      </c>
      <c r="H152" s="117" t="s">
        <v>262</v>
      </c>
      <c r="I152" s="117"/>
      <c r="J152" s="117" t="s">
        <v>143</v>
      </c>
      <c r="K152" s="235" t="s">
        <v>112</v>
      </c>
      <c r="L152" s="117"/>
      <c r="M152" s="117">
        <v>6.5065788978815703E+18</v>
      </c>
      <c r="N152" s="117"/>
      <c r="O152" s="117"/>
      <c r="P152" s="117"/>
      <c r="Q152" s="117"/>
      <c r="R152" s="117"/>
      <c r="S152" s="117"/>
      <c r="T152" s="117"/>
      <c r="U152" s="117"/>
      <c r="V152" s="117"/>
      <c r="W152" s="117"/>
      <c r="X152" s="117"/>
      <c r="Y152" s="117"/>
      <c r="Z152" s="117"/>
      <c r="AA152" s="117"/>
      <c r="AB152" s="117"/>
      <c r="AC152" s="117"/>
    </row>
    <row r="153" spans="1:29" s="113" customFormat="1" ht="25.5" hidden="1" thickBot="1">
      <c r="A153" s="396">
        <v>46111.534849537034</v>
      </c>
      <c r="B153" s="397" t="s">
        <v>2256</v>
      </c>
      <c r="C153" s="397" t="s">
        <v>2257</v>
      </c>
      <c r="D153" s="397" t="s">
        <v>147</v>
      </c>
      <c r="E153" s="397"/>
      <c r="F153" s="397" t="s">
        <v>2258</v>
      </c>
      <c r="G153" s="397" t="s">
        <v>2259</v>
      </c>
      <c r="H153" s="397" t="s">
        <v>285</v>
      </c>
      <c r="I153" s="397"/>
      <c r="J153" s="397" t="s">
        <v>263</v>
      </c>
      <c r="K153" s="398" t="s">
        <v>52</v>
      </c>
      <c r="L153" s="397"/>
      <c r="M153" s="397">
        <v>6.50664411128333E+18</v>
      </c>
      <c r="N153" s="397"/>
      <c r="O153" s="397"/>
      <c r="P153" s="397"/>
      <c r="Q153" s="397"/>
      <c r="R153" s="397"/>
      <c r="S153" s="397"/>
      <c r="T153" s="397"/>
      <c r="U153" s="397"/>
      <c r="V153" s="397"/>
      <c r="W153" s="397"/>
      <c r="X153" s="397"/>
      <c r="Y153" s="397"/>
      <c r="Z153" s="397"/>
      <c r="AA153" s="397"/>
      <c r="AB153" s="397"/>
      <c r="AC153" s="397"/>
    </row>
    <row r="154" spans="1:29" ht="19" customHeight="1" thickBot="1">
      <c r="A154" s="116">
        <v>46111.600405092591</v>
      </c>
      <c r="B154" s="117" t="s">
        <v>2260</v>
      </c>
      <c r="C154" s="117" t="s">
        <v>549</v>
      </c>
      <c r="D154" s="117" t="s">
        <v>2261</v>
      </c>
      <c r="E154" s="117"/>
      <c r="F154" s="117" t="s">
        <v>2262</v>
      </c>
      <c r="G154" s="117" t="s">
        <v>2263</v>
      </c>
      <c r="H154" s="117" t="s">
        <v>2264</v>
      </c>
      <c r="I154" s="117" t="s">
        <v>2265</v>
      </c>
      <c r="J154" s="117" t="s">
        <v>2266</v>
      </c>
      <c r="K154" s="235" t="s">
        <v>104</v>
      </c>
      <c r="L154" s="117"/>
      <c r="M154" s="117">
        <v>6.5067007555273001E+18</v>
      </c>
      <c r="N154" s="117"/>
      <c r="O154" s="117"/>
      <c r="P154" s="117"/>
      <c r="Q154" s="117"/>
      <c r="R154" s="117"/>
      <c r="S154" s="117"/>
      <c r="T154" s="117"/>
      <c r="U154" s="117"/>
      <c r="V154" s="117"/>
      <c r="W154" s="117"/>
      <c r="X154" s="117"/>
      <c r="Y154" s="117"/>
      <c r="Z154" s="117"/>
      <c r="AA154" s="117"/>
      <c r="AB154" s="117"/>
      <c r="AC154" s="117"/>
    </row>
    <row r="155" spans="1:29" ht="63" thickBot="1">
      <c r="A155" s="116">
        <v>46111.623437499999</v>
      </c>
      <c r="B155" s="117" t="s">
        <v>326</v>
      </c>
      <c r="C155" s="117" t="s">
        <v>1532</v>
      </c>
      <c r="D155" s="117" t="s">
        <v>2261</v>
      </c>
      <c r="E155" s="117"/>
      <c r="F155" s="117" t="s">
        <v>2267</v>
      </c>
      <c r="G155" s="117" t="s">
        <v>2268</v>
      </c>
      <c r="H155" s="117" t="s">
        <v>2269</v>
      </c>
      <c r="I155" s="117" t="s">
        <v>2270</v>
      </c>
      <c r="J155" s="117" t="s">
        <v>251</v>
      </c>
      <c r="K155" s="235" t="s">
        <v>104</v>
      </c>
      <c r="L155" s="117"/>
      <c r="M155" s="117">
        <v>6.5067206561263596E+18</v>
      </c>
      <c r="N155" s="117"/>
      <c r="O155" s="117"/>
      <c r="P155" s="117"/>
      <c r="Q155" s="117"/>
      <c r="R155" s="117"/>
      <c r="S155" s="117"/>
      <c r="T155" s="117"/>
      <c r="U155" s="117"/>
      <c r="V155" s="117"/>
      <c r="W155" s="117"/>
      <c r="X155" s="117"/>
      <c r="Y155" s="117"/>
      <c r="Z155" s="117"/>
      <c r="AA155" s="117"/>
      <c r="AB155" s="117"/>
      <c r="AC155" s="117"/>
    </row>
    <row r="156" spans="1:29" ht="63" thickBot="1">
      <c r="A156" s="116">
        <v>46111.629317129627</v>
      </c>
      <c r="B156" s="117" t="s">
        <v>2271</v>
      </c>
      <c r="C156" s="117" t="s">
        <v>1655</v>
      </c>
      <c r="D156" s="117" t="s">
        <v>147</v>
      </c>
      <c r="E156" s="117"/>
      <c r="F156" s="117" t="s">
        <v>2272</v>
      </c>
      <c r="G156" s="117" t="s">
        <v>897</v>
      </c>
      <c r="H156" s="117" t="s">
        <v>164</v>
      </c>
      <c r="I156" s="117"/>
      <c r="J156" s="117" t="s">
        <v>216</v>
      </c>
      <c r="K156" s="235" t="s">
        <v>93</v>
      </c>
      <c r="L156" s="395" t="str">
        <f>K156</f>
        <v>IITM CDOT Samgnya Technologies Foundation at IIT Madras</v>
      </c>
      <c r="M156" s="117">
        <v>6.5067257309116201E+18</v>
      </c>
      <c r="N156" s="117"/>
      <c r="O156" s="117"/>
      <c r="P156" s="117"/>
      <c r="Q156" s="117"/>
      <c r="R156" s="117"/>
      <c r="S156" s="117"/>
      <c r="T156" s="117"/>
      <c r="U156" s="117"/>
      <c r="V156" s="117"/>
      <c r="W156" s="117"/>
      <c r="X156" s="117"/>
      <c r="Y156" s="117"/>
      <c r="Z156" s="117"/>
      <c r="AA156" s="117"/>
      <c r="AB156" s="117"/>
      <c r="AC156" s="117"/>
    </row>
    <row r="157" spans="1:29" ht="25.5" thickBot="1">
      <c r="A157" s="116">
        <v>46111.656030092592</v>
      </c>
      <c r="B157" s="117" t="s">
        <v>2273</v>
      </c>
      <c r="C157" s="117" t="s">
        <v>2274</v>
      </c>
      <c r="D157" s="117" t="s">
        <v>147</v>
      </c>
      <c r="E157" s="117"/>
      <c r="F157" s="117" t="s">
        <v>2275</v>
      </c>
      <c r="G157" s="117" t="s">
        <v>2276</v>
      </c>
      <c r="H157" s="117" t="s">
        <v>151</v>
      </c>
      <c r="I157" s="117"/>
      <c r="J157" s="117" t="s">
        <v>208</v>
      </c>
      <c r="K157" s="235" t="s">
        <v>112</v>
      </c>
      <c r="L157" s="117" t="str">
        <f>K157</f>
        <v>QMD Foundation at IIT Delhi</v>
      </c>
      <c r="M157" s="117">
        <v>6.5067488141274501E+18</v>
      </c>
      <c r="N157" s="117"/>
      <c r="O157" s="117"/>
      <c r="P157" s="117"/>
      <c r="Q157" s="117"/>
      <c r="R157" s="117"/>
      <c r="S157" s="117"/>
      <c r="T157" s="117"/>
      <c r="U157" s="117"/>
      <c r="V157" s="117"/>
      <c r="W157" s="117"/>
      <c r="X157" s="117"/>
      <c r="Y157" s="117"/>
      <c r="Z157" s="117"/>
      <c r="AA157" s="117"/>
      <c r="AB157" s="117"/>
      <c r="AC157" s="117"/>
    </row>
    <row r="158" spans="1:29" ht="25.5" thickBot="1">
      <c r="A158" s="116">
        <v>46111.773275462961</v>
      </c>
      <c r="B158" s="117" t="s">
        <v>2277</v>
      </c>
      <c r="C158" s="117" t="s">
        <v>2278</v>
      </c>
      <c r="D158" s="117" t="s">
        <v>2261</v>
      </c>
      <c r="E158" s="117"/>
      <c r="F158" s="117" t="s">
        <v>2279</v>
      </c>
      <c r="G158" s="117" t="s">
        <v>2280</v>
      </c>
      <c r="H158" s="117" t="s">
        <v>2281</v>
      </c>
      <c r="I158" s="117" t="s">
        <v>2282</v>
      </c>
      <c r="J158" s="117" t="s">
        <v>201</v>
      </c>
      <c r="K158" s="235" t="s">
        <v>104</v>
      </c>
      <c r="L158" s="117"/>
      <c r="M158" s="117">
        <v>6.5068501188996403E+18</v>
      </c>
      <c r="N158" s="117"/>
      <c r="O158" s="117"/>
      <c r="P158" s="117"/>
      <c r="Q158" s="117"/>
      <c r="R158" s="117"/>
      <c r="S158" s="117"/>
      <c r="T158" s="117"/>
      <c r="U158" s="117"/>
      <c r="V158" s="117"/>
      <c r="W158" s="117"/>
      <c r="X158" s="117"/>
      <c r="Y158" s="117"/>
      <c r="Z158" s="117"/>
      <c r="AA158" s="117"/>
      <c r="AB158" s="117"/>
      <c r="AC158" s="117"/>
    </row>
    <row r="159" spans="1:29" s="113" customFormat="1" ht="25.5" hidden="1" thickBot="1">
      <c r="A159" s="396">
        <v>46111.831435185188</v>
      </c>
      <c r="B159" s="397" t="s">
        <v>2283</v>
      </c>
      <c r="C159" s="397" t="s">
        <v>482</v>
      </c>
      <c r="D159" s="397" t="s">
        <v>147</v>
      </c>
      <c r="E159" s="397"/>
      <c r="F159" s="397" t="s">
        <v>2284</v>
      </c>
      <c r="G159" s="397" t="s">
        <v>2285</v>
      </c>
      <c r="H159" s="397" t="s">
        <v>2286</v>
      </c>
      <c r="I159" s="397"/>
      <c r="J159" s="397" t="s">
        <v>269</v>
      </c>
      <c r="K159" s="398" t="s">
        <v>104</v>
      </c>
      <c r="L159" s="397"/>
      <c r="M159" s="397">
        <v>6.5069003680213504E+18</v>
      </c>
      <c r="N159" s="397"/>
      <c r="O159" s="397"/>
      <c r="P159" s="397"/>
      <c r="Q159" s="397"/>
      <c r="R159" s="397"/>
      <c r="S159" s="397"/>
      <c r="T159" s="397"/>
      <c r="U159" s="397"/>
      <c r="V159" s="397"/>
      <c r="W159" s="397"/>
      <c r="X159" s="397"/>
      <c r="Y159" s="397"/>
      <c r="Z159" s="397"/>
      <c r="AA159" s="397"/>
      <c r="AB159" s="397"/>
      <c r="AC159" s="397"/>
    </row>
    <row r="160" spans="1:29" ht="38" thickBot="1">
      <c r="A160" s="116">
        <v>46111.900312500002</v>
      </c>
      <c r="B160" s="117" t="s">
        <v>2288</v>
      </c>
      <c r="C160" s="117" t="s">
        <v>2289</v>
      </c>
      <c r="D160" s="117" t="s">
        <v>2261</v>
      </c>
      <c r="E160" s="117"/>
      <c r="F160" s="117" t="s">
        <v>2290</v>
      </c>
      <c r="G160" s="117" t="s">
        <v>2291</v>
      </c>
      <c r="H160" s="117" t="s">
        <v>134</v>
      </c>
      <c r="I160" s="117" t="s">
        <v>2292</v>
      </c>
      <c r="J160" s="117" t="s">
        <v>2293</v>
      </c>
      <c r="K160" s="235" t="s">
        <v>52</v>
      </c>
      <c r="L160" s="117" t="str">
        <f>K160</f>
        <v>Foundation for QC Innovation IISc Bangalore</v>
      </c>
      <c r="M160" s="117">
        <v>6.5069598706069596E+18</v>
      </c>
      <c r="N160" s="117"/>
      <c r="O160" s="117"/>
      <c r="P160" s="117" t="s">
        <v>1824</v>
      </c>
      <c r="Q160" s="117"/>
      <c r="R160" s="117"/>
      <c r="S160" s="117"/>
      <c r="T160" s="117"/>
      <c r="U160" s="117"/>
      <c r="V160" s="117"/>
      <c r="W160" s="117"/>
      <c r="X160" s="117"/>
      <c r="Y160" s="117"/>
      <c r="Z160" s="117"/>
      <c r="AA160" s="117"/>
      <c r="AB160" s="117"/>
      <c r="AC160" s="117"/>
    </row>
    <row r="161" spans="1:29" ht="13" thickBot="1">
      <c r="B161" s="117" t="s">
        <v>2308</v>
      </c>
      <c r="C161" s="117" t="s">
        <v>2309</v>
      </c>
    </row>
    <row r="162" spans="1:29" ht="13" thickBot="1">
      <c r="B162" s="117"/>
    </row>
    <row r="163" spans="1:29" ht="25.5" thickBot="1">
      <c r="A163" s="116">
        <v>46113.548668981479</v>
      </c>
      <c r="B163" s="117" t="s">
        <v>2369</v>
      </c>
      <c r="C163" s="117" t="s">
        <v>327</v>
      </c>
      <c r="D163" s="117" t="s">
        <v>2261</v>
      </c>
      <c r="E163" s="117"/>
      <c r="F163" s="117" t="s">
        <v>2370</v>
      </c>
      <c r="G163" s="117" t="s">
        <v>2371</v>
      </c>
      <c r="H163" s="117" t="s">
        <v>134</v>
      </c>
      <c r="I163" s="117" t="s">
        <v>2372</v>
      </c>
      <c r="J163" s="117" t="s">
        <v>2373</v>
      </c>
      <c r="K163" s="235" t="s">
        <v>104</v>
      </c>
      <c r="L163" s="117"/>
      <c r="M163" s="117">
        <v>6.5083840553226701E+18</v>
      </c>
      <c r="N163" s="117"/>
      <c r="O163" s="117"/>
      <c r="P163" s="117"/>
      <c r="Q163" s="117"/>
      <c r="R163" s="117"/>
      <c r="S163" s="117"/>
      <c r="T163" s="117"/>
      <c r="U163" s="117"/>
      <c r="V163" s="117"/>
      <c r="W163" s="117"/>
      <c r="X163" s="117"/>
      <c r="Y163" s="117"/>
      <c r="Z163" s="117"/>
      <c r="AA163" s="117"/>
      <c r="AB163" s="117"/>
      <c r="AC163" s="117"/>
    </row>
    <row r="164" spans="1:29" ht="38" thickBot="1">
      <c r="A164" s="116">
        <v>46113.610520833332</v>
      </c>
      <c r="B164" s="117" t="s">
        <v>2374</v>
      </c>
      <c r="C164" s="117" t="s">
        <v>2375</v>
      </c>
      <c r="D164" s="117" t="s">
        <v>131</v>
      </c>
      <c r="E164" s="117"/>
      <c r="F164" s="117" t="s">
        <v>2376</v>
      </c>
      <c r="G164" s="117" t="s">
        <v>2377</v>
      </c>
      <c r="H164" s="117" t="s">
        <v>2378</v>
      </c>
      <c r="I164" s="117" t="s">
        <v>2379</v>
      </c>
      <c r="J164" s="117" t="s">
        <v>2380</v>
      </c>
      <c r="K164" s="235" t="s">
        <v>112</v>
      </c>
      <c r="L164" s="117"/>
      <c r="M164" s="117">
        <v>6.5084374941143204E+18</v>
      </c>
      <c r="N164" s="117"/>
      <c r="O164" s="117"/>
      <c r="P164" s="117"/>
      <c r="Q164" s="117"/>
      <c r="R164" s="117"/>
      <c r="S164" s="117"/>
      <c r="T164" s="117"/>
      <c r="U164" s="117"/>
      <c r="V164" s="117"/>
      <c r="W164" s="117"/>
      <c r="X164" s="117"/>
      <c r="Y164" s="117"/>
      <c r="Z164" s="117"/>
      <c r="AA164" s="117"/>
      <c r="AB164" s="117"/>
      <c r="AC164" s="117"/>
    </row>
    <row r="165" spans="1:29" ht="13" thickBot="1">
      <c r="B165" s="384" t="s">
        <v>2498</v>
      </c>
      <c r="C165" s="386" t="s">
        <v>2499</v>
      </c>
      <c r="E165" t="s">
        <v>475</v>
      </c>
      <c r="G165" s="60" t="s">
        <v>2501</v>
      </c>
      <c r="H165" t="s">
        <v>2500</v>
      </c>
      <c r="K165" s="235" t="s">
        <v>112</v>
      </c>
    </row>
    <row r="166" spans="1:29">
      <c r="B166" s="384" t="s">
        <v>1472</v>
      </c>
      <c r="C166" s="386" t="s">
        <v>2504</v>
      </c>
      <c r="E166" t="s">
        <v>299</v>
      </c>
      <c r="G166" s="60" t="s">
        <v>2505</v>
      </c>
      <c r="H166" t="s">
        <v>275</v>
      </c>
      <c r="K166" s="519" t="s">
        <v>299</v>
      </c>
    </row>
  </sheetData>
  <autoFilter ref="A1:AC166" xr:uid="{7F57F166-076E-4213-863F-217E6F0C02F0}">
    <filterColumn colId="1">
      <colorFilter dxfId="1"/>
    </filterColumn>
    <filterColumn colId="13">
      <filters blank="1"/>
    </filterColumn>
  </autoFilter>
  <hyperlinks>
    <hyperlink ref="G108" r:id="rId1" xr:uid="{3FC810BD-37AF-4C49-9D56-9C0BCFD9565C}"/>
    <hyperlink ref="G77" r:id="rId2" xr:uid="{0724E3A5-B630-4E9F-A1F4-9BC066B0BE23}"/>
    <hyperlink ref="G165" r:id="rId3" xr:uid="{0369805E-53A9-4646-BE62-CE19E2E4AD34}"/>
    <hyperlink ref="G166" r:id="rId4" xr:uid="{1B3332BE-49EA-444D-9F39-96A66CCFE304}"/>
    <hyperlink ref="G107" r:id="rId5" xr:uid="{6605C108-7C2D-478F-94DE-C73D26ACADCF}"/>
  </hyperlinks>
  <pageMargins left="0.7" right="0.7" top="0.75" bottom="0.75" header="0.3" footer="0.3"/>
  <pageSetup paperSize="9" orientation="portrait" verticalDpi="0"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474A3-FF13-4201-9F91-8995A01ECC93}">
  <dimension ref="A1:L149"/>
  <sheetViews>
    <sheetView topLeftCell="A28" workbookViewId="0">
      <selection activeCell="B26" sqref="B26:B42"/>
    </sheetView>
  </sheetViews>
  <sheetFormatPr defaultRowHeight="12.5"/>
  <cols>
    <col min="1" max="1" width="22.36328125" style="167" customWidth="1"/>
    <col min="2" max="2" width="18.54296875" style="167" customWidth="1"/>
    <col min="3" max="3" width="18" style="167" customWidth="1"/>
    <col min="4" max="5" width="8.7265625" style="19"/>
    <col min="6" max="6" width="32.26953125" style="19" customWidth="1"/>
    <col min="7" max="8" width="32.81640625" style="19" customWidth="1"/>
    <col min="9" max="9" width="8.7265625" style="19"/>
    <col min="10" max="10" width="24" style="19" customWidth="1"/>
    <col min="11" max="16384" width="8.7265625" style="19"/>
  </cols>
  <sheetData>
    <row r="1" spans="1:12">
      <c r="A1" s="311" t="s">
        <v>2345</v>
      </c>
      <c r="B1" s="311" t="s">
        <v>2346</v>
      </c>
      <c r="C1" s="311" t="s">
        <v>1866</v>
      </c>
    </row>
    <row r="2" spans="1:12">
      <c r="A2" s="311" t="s">
        <v>1773</v>
      </c>
      <c r="B2" s="454" t="s">
        <v>192</v>
      </c>
      <c r="C2" s="311" t="s">
        <v>401</v>
      </c>
      <c r="F2" s="19" t="s">
        <v>2383</v>
      </c>
      <c r="J2" s="19" t="s">
        <v>2508</v>
      </c>
    </row>
    <row r="3" spans="1:12" ht="25">
      <c r="A3" s="455" t="s">
        <v>1774</v>
      </c>
      <c r="B3" s="454" t="s">
        <v>306</v>
      </c>
      <c r="C3" s="311" t="s">
        <v>401</v>
      </c>
      <c r="F3" s="528" t="s">
        <v>567</v>
      </c>
      <c r="G3" s="529" t="str">
        <f>VLOOKUP(F3,$B:$B,1,0)</f>
        <v>srishic@rri.res.in</v>
      </c>
      <c r="H3" s="19" t="e">
        <f>VLOOKUP(F3,$J:$J,1,0)</f>
        <v>#N/A</v>
      </c>
      <c r="J3" s="168" t="s">
        <v>58</v>
      </c>
      <c r="K3" s="19" t="e">
        <f>VLOOKUP(J3,$B:$B,1,0)</f>
        <v>#N/A</v>
      </c>
      <c r="L3" s="19" t="str">
        <f>VLOOKUP(J3,$F:$F,1,0)</f>
        <v>eez248406@ee.iitd.ac.in</v>
      </c>
    </row>
    <row r="4" spans="1:12" ht="32.25" customHeight="1">
      <c r="A4" s="455" t="s">
        <v>1776</v>
      </c>
      <c r="B4" s="454" t="s">
        <v>333</v>
      </c>
      <c r="C4" s="311" t="s">
        <v>401</v>
      </c>
      <c r="F4" s="530" t="s">
        <v>58</v>
      </c>
      <c r="G4" s="19" t="e">
        <f>VLOOKUP(F4,$B:$B,1,0)</f>
        <v>#N/A</v>
      </c>
      <c r="H4" s="19" t="str">
        <f>VLOOKUP(F4,$J:$J,1,0)</f>
        <v>eez248406@ee.iitd.ac.in</v>
      </c>
      <c r="J4" s="168" t="s">
        <v>65</v>
      </c>
      <c r="K4" s="19" t="e">
        <f>VLOOKUP(J4,$B:$B,1,0)</f>
        <v>#N/A</v>
      </c>
      <c r="L4" s="19" t="str">
        <f>VLOOKUP(J4,$F:$F,1,0)</f>
        <v>rajat21@iisertvm.ac.in</v>
      </c>
    </row>
    <row r="5" spans="1:12" ht="25">
      <c r="A5" s="455" t="s">
        <v>1777</v>
      </c>
      <c r="B5" s="454" t="s">
        <v>339</v>
      </c>
      <c r="C5" s="311" t="s">
        <v>401</v>
      </c>
      <c r="F5" s="530" t="s">
        <v>65</v>
      </c>
      <c r="G5" s="19" t="e">
        <f>VLOOKUP(F5,$B:$B,1,0)</f>
        <v>#N/A</v>
      </c>
      <c r="H5" s="19" t="str">
        <f>VLOOKUP(F5,$J:$J,1,0)</f>
        <v>rajat21@iisertvm.ac.in</v>
      </c>
      <c r="J5" s="168" t="s">
        <v>70</v>
      </c>
      <c r="K5" s="529" t="str">
        <f>VLOOKUP(J5,$B:$B,1,0)</f>
        <v>umakant.rapol@iiserpune.ac.in</v>
      </c>
      <c r="L5" s="19" t="str">
        <f>VLOOKUP(J5,$F:$F,1,0)</f>
        <v>umakant.rapol@iiserpune.ac.in</v>
      </c>
    </row>
    <row r="6" spans="1:12" ht="14.5">
      <c r="A6" s="455" t="s">
        <v>1778</v>
      </c>
      <c r="B6" s="454" t="s">
        <v>344</v>
      </c>
      <c r="C6" s="311" t="s">
        <v>401</v>
      </c>
      <c r="F6" s="531" t="s">
        <v>1427</v>
      </c>
      <c r="G6" s="19" t="e">
        <f>VLOOKUP(F6,$B:$B,1,0)</f>
        <v>#N/A</v>
      </c>
      <c r="H6" s="19" t="e">
        <f>VLOOKUP(F6,$J:$J,1,0)</f>
        <v>#N/A</v>
      </c>
      <c r="J6" s="168" t="s">
        <v>77</v>
      </c>
      <c r="K6" s="19" t="e">
        <f>VLOOKUP(J6,$B:$B,1,0)</f>
        <v>#N/A</v>
      </c>
      <c r="L6" s="19" t="e">
        <f>VLOOKUP(J6,$F:$F,1,0)</f>
        <v>#N/A</v>
      </c>
    </row>
    <row r="7" spans="1:12" ht="25">
      <c r="A7" s="455" t="s">
        <v>1779</v>
      </c>
      <c r="B7" s="454" t="s">
        <v>350</v>
      </c>
      <c r="C7" s="311" t="s">
        <v>401</v>
      </c>
      <c r="F7" s="532" t="s">
        <v>1631</v>
      </c>
      <c r="G7" s="19" t="e">
        <f>VLOOKUP(F7,$B:$B,1,0)</f>
        <v>#N/A</v>
      </c>
      <c r="H7" s="19" t="e">
        <f>VLOOKUP(F7,$J:$J,1,0)</f>
        <v>#N/A</v>
      </c>
      <c r="J7" s="99" t="s">
        <v>1499</v>
      </c>
      <c r="K7" s="19" t="e">
        <f>VLOOKUP(J7,$B:$B,1,0)</f>
        <v>#N/A</v>
      </c>
      <c r="L7" s="19" t="e">
        <f>VLOOKUP(J7,$F:$F,1,0)</f>
        <v>#N/A</v>
      </c>
    </row>
    <row r="8" spans="1:12" ht="25">
      <c r="A8" s="455" t="s">
        <v>1780</v>
      </c>
      <c r="B8" s="454" t="s">
        <v>355</v>
      </c>
      <c r="C8" s="311" t="s">
        <v>401</v>
      </c>
      <c r="F8" s="533" t="s">
        <v>1886</v>
      </c>
      <c r="G8" s="19" t="e">
        <f>VLOOKUP(F8,$B:$B,1,0)</f>
        <v>#N/A</v>
      </c>
      <c r="H8" s="19" t="e">
        <f>VLOOKUP(F8,$J:$J,1,0)</f>
        <v>#N/A</v>
      </c>
      <c r="J8" s="168" t="s">
        <v>83</v>
      </c>
      <c r="K8" s="19" t="e">
        <f>VLOOKUP(J8,$B:$B,1,0)</f>
        <v>#N/A</v>
      </c>
      <c r="L8" s="19" t="e">
        <f>VLOOKUP(J8,$F:$F,1,0)</f>
        <v>#N/A</v>
      </c>
    </row>
    <row r="9" spans="1:12" ht="29">
      <c r="A9" s="455" t="s">
        <v>1781</v>
      </c>
      <c r="B9" s="454" t="s">
        <v>465</v>
      </c>
      <c r="C9" s="311" t="s">
        <v>401</v>
      </c>
      <c r="F9" s="528" t="s">
        <v>1451</v>
      </c>
      <c r="G9" s="19" t="e">
        <f>VLOOKUP(F9,$B:$B,1,0)</f>
        <v>#N/A</v>
      </c>
      <c r="H9" s="19" t="e">
        <f>VLOOKUP(F9,$J:$J,1,0)</f>
        <v>#N/A</v>
      </c>
      <c r="J9" s="168" t="s">
        <v>88</v>
      </c>
      <c r="K9" s="19" t="e">
        <f>VLOOKUP(J9,$B:$B,1,0)</f>
        <v>#N/A</v>
      </c>
      <c r="L9" s="19" t="str">
        <f>VLOOKUP(J9,$F:$F,1,0)</f>
        <v>phz228454@iitd.ac.in</v>
      </c>
    </row>
    <row r="10" spans="1:12" ht="25">
      <c r="A10" s="455" t="s">
        <v>1783</v>
      </c>
      <c r="B10" s="454" t="s">
        <v>471</v>
      </c>
      <c r="C10" s="311" t="s">
        <v>401</v>
      </c>
      <c r="F10" s="530" t="s">
        <v>1462</v>
      </c>
      <c r="G10" s="19" t="e">
        <f>VLOOKUP(F10,$B:$B,1,0)</f>
        <v>#N/A</v>
      </c>
      <c r="H10" s="19" t="e">
        <f>VLOOKUP(F10,$J:$J,1,0)</f>
        <v>#N/A</v>
      </c>
      <c r="J10" s="188" t="s">
        <v>1569</v>
      </c>
      <c r="K10" s="19" t="e">
        <f>VLOOKUP(J10,$B:$B,1,0)</f>
        <v>#N/A</v>
      </c>
      <c r="L10" s="19" t="e">
        <f>VLOOKUP(J10,$F:$F,1,0)</f>
        <v>#N/A</v>
      </c>
    </row>
    <row r="11" spans="1:12" ht="25">
      <c r="A11" s="455" t="s">
        <v>1784</v>
      </c>
      <c r="B11" s="454" t="s">
        <v>490</v>
      </c>
      <c r="C11" s="311" t="s">
        <v>401</v>
      </c>
      <c r="F11" s="531" t="s">
        <v>1473</v>
      </c>
      <c r="G11" s="19" t="e">
        <f>VLOOKUP(F11,$B:$B,1,0)</f>
        <v>#N/A</v>
      </c>
      <c r="H11" s="19" t="e">
        <f>VLOOKUP(F11,$J:$J,1,0)</f>
        <v>#N/A</v>
      </c>
      <c r="J11" s="188" t="s">
        <v>1747</v>
      </c>
      <c r="K11" s="19" t="e">
        <f>VLOOKUP(J11,$B:$B,1,0)</f>
        <v>#N/A</v>
      </c>
      <c r="L11" s="19" t="e">
        <f>VLOOKUP(J11,$F:$F,1,0)</f>
        <v>#N/A</v>
      </c>
    </row>
    <row r="12" spans="1:12" ht="25">
      <c r="A12" s="455" t="s">
        <v>1785</v>
      </c>
      <c r="B12" s="454" t="s">
        <v>533</v>
      </c>
      <c r="C12" s="311" t="s">
        <v>401</v>
      </c>
      <c r="F12" s="533" t="s">
        <v>2330</v>
      </c>
      <c r="G12" s="19" t="e">
        <f>VLOOKUP(F12,$B:$B,1,0)</f>
        <v>#N/A</v>
      </c>
      <c r="H12" s="19" t="e">
        <f>VLOOKUP(F12,$J:$J,1,0)</f>
        <v>#N/A</v>
      </c>
      <c r="J12" s="168" t="s">
        <v>98</v>
      </c>
      <c r="K12" s="19" t="e">
        <f>VLOOKUP(J12,$B:$B,1,0)</f>
        <v>#N/A</v>
      </c>
      <c r="L12" s="19" t="e">
        <f>VLOOKUP(J12,$F:$F,1,0)</f>
        <v>#N/A</v>
      </c>
    </row>
    <row r="13" spans="1:12" ht="25">
      <c r="A13" s="455" t="s">
        <v>1786</v>
      </c>
      <c r="B13" s="454" t="s">
        <v>555</v>
      </c>
      <c r="C13" s="311" t="s">
        <v>401</v>
      </c>
      <c r="F13" s="534" t="s">
        <v>1559</v>
      </c>
      <c r="G13" s="19" t="e">
        <f>VLOOKUP(F13,$B:$B,1,0)</f>
        <v>#N/A</v>
      </c>
      <c r="H13" s="19" t="e">
        <f>VLOOKUP(F13,$J:$J,1,0)</f>
        <v>#N/A</v>
      </c>
      <c r="J13" s="99"/>
      <c r="K13" s="19" t="e">
        <f>VLOOKUP(J13,$B:$B,1,0)</f>
        <v>#N/A</v>
      </c>
      <c r="L13" s="19" t="e">
        <f>VLOOKUP(J13,$F:$F,1,0)</f>
        <v>#N/A</v>
      </c>
    </row>
    <row r="14" spans="1:12" ht="25">
      <c r="A14" s="455" t="s">
        <v>1787</v>
      </c>
      <c r="B14" s="454" t="s">
        <v>561</v>
      </c>
      <c r="C14" s="311" t="s">
        <v>401</v>
      </c>
      <c r="F14" s="535" t="s">
        <v>2384</v>
      </c>
      <c r="G14" s="19" t="e">
        <f>VLOOKUP(F14,$B:$B,1,0)</f>
        <v>#N/A</v>
      </c>
      <c r="H14" s="19" t="e">
        <f>VLOOKUP(F14,$J:$J,1,0)</f>
        <v>#N/A</v>
      </c>
      <c r="J14" s="188" t="s">
        <v>2287</v>
      </c>
      <c r="K14" s="19" t="e">
        <f>VLOOKUP(J14,$B:$B,1,0)</f>
        <v>#N/A</v>
      </c>
      <c r="L14" s="19" t="e">
        <f>VLOOKUP(J14,$F:$F,1,0)</f>
        <v>#N/A</v>
      </c>
    </row>
    <row r="15" spans="1:12" ht="25">
      <c r="A15" s="455" t="s">
        <v>1788</v>
      </c>
      <c r="B15" s="454" t="s">
        <v>589</v>
      </c>
      <c r="C15" s="311" t="s">
        <v>401</v>
      </c>
      <c r="F15" s="536" t="s">
        <v>1734</v>
      </c>
      <c r="G15" s="19" t="e">
        <f>VLOOKUP(F15,$B:$B,1,0)</f>
        <v>#N/A</v>
      </c>
      <c r="H15" s="19" t="e">
        <f>VLOOKUP(F15,$J:$J,1,0)</f>
        <v>#N/A</v>
      </c>
      <c r="J15" s="188" t="s">
        <v>1574</v>
      </c>
      <c r="K15" s="19" t="e">
        <f>VLOOKUP(J15,$B:$B,1,0)</f>
        <v>#N/A</v>
      </c>
      <c r="L15" s="19" t="str">
        <f>VLOOKUP(J15,$F:$F,1,0)</f>
        <v>pmohta@iitk.ac.in</v>
      </c>
    </row>
    <row r="16" spans="1:12" ht="14.5" customHeight="1">
      <c r="A16" s="455" t="s">
        <v>1790</v>
      </c>
      <c r="B16" s="454" t="s">
        <v>602</v>
      </c>
      <c r="C16" s="311" t="s">
        <v>401</v>
      </c>
      <c r="F16" s="537" t="s">
        <v>1663</v>
      </c>
      <c r="G16" s="19" t="e">
        <f>VLOOKUP(F16,$B:$B,1,0)</f>
        <v>#N/A</v>
      </c>
      <c r="H16" s="19" t="e">
        <f>VLOOKUP(F16,$J:$J,1,0)</f>
        <v>#N/A</v>
      </c>
      <c r="J16" s="168" t="s">
        <v>109</v>
      </c>
      <c r="K16" s="19" t="e">
        <f>VLOOKUP(J16,$B:$B,1,0)</f>
        <v>#N/A</v>
      </c>
      <c r="L16" s="19" t="e">
        <f>VLOOKUP(J16,$F:$F,1,0)</f>
        <v>#N/A</v>
      </c>
    </row>
    <row r="17" spans="1:12" ht="14.5" customHeight="1">
      <c r="A17" s="455" t="s">
        <v>1791</v>
      </c>
      <c r="B17" s="454" t="s">
        <v>626</v>
      </c>
      <c r="C17" s="311" t="s">
        <v>401</v>
      </c>
      <c r="F17" s="537"/>
      <c r="G17" s="19" t="e">
        <f>VLOOKUP(F17,$B:$B,1,0)</f>
        <v>#N/A</v>
      </c>
      <c r="H17" s="19" t="e">
        <f>VLOOKUP(F17,$J:$J,1,0)</f>
        <v>#N/A</v>
      </c>
      <c r="J17" s="99" t="s">
        <v>680</v>
      </c>
      <c r="K17" s="19" t="e">
        <f>VLOOKUP(J17,$B:$B,1,0)</f>
        <v>#N/A</v>
      </c>
      <c r="L17" s="19" t="e">
        <f>VLOOKUP(J17,$F:$F,1,0)</f>
        <v>#N/A</v>
      </c>
    </row>
    <row r="18" spans="1:12" ht="25">
      <c r="A18" s="455"/>
      <c r="B18" s="454"/>
      <c r="C18" s="311"/>
      <c r="F18" s="538" t="s">
        <v>399</v>
      </c>
      <c r="G18" s="529" t="str">
        <f>VLOOKUP(F18,$B:$B,1,0)</f>
        <v>bkanseri@physics.iitd.ac.in</v>
      </c>
      <c r="H18" s="19" t="e">
        <f>VLOOKUP(F18,$J:$J,1,0)</f>
        <v>#N/A</v>
      </c>
      <c r="J18" s="188" t="s">
        <v>2304</v>
      </c>
      <c r="K18" s="19" t="e">
        <f>VLOOKUP(J18,$B:$B,1,0)</f>
        <v>#N/A</v>
      </c>
      <c r="L18" s="19" t="e">
        <f>VLOOKUP(J18,$F:$F,1,0)</f>
        <v>#N/A</v>
      </c>
    </row>
    <row r="19" spans="1:12" ht="29">
      <c r="A19" s="455"/>
      <c r="B19" s="454"/>
      <c r="C19" s="311"/>
      <c r="F19" s="539" t="s">
        <v>2385</v>
      </c>
      <c r="G19" s="19" t="e">
        <f>VLOOKUP(F19,$B:$B,1,0)</f>
        <v>#N/A</v>
      </c>
      <c r="H19" s="19" t="e">
        <f>VLOOKUP(F19,$J:$J,1,0)</f>
        <v>#N/A</v>
      </c>
      <c r="J19" s="188" t="s">
        <v>812</v>
      </c>
      <c r="K19" s="19" t="e">
        <f>VLOOKUP(J19,$B:$B,1,0)</f>
        <v>#N/A</v>
      </c>
      <c r="L19" s="19" t="e">
        <f>VLOOKUP(J19,$F:$F,1,0)</f>
        <v>#N/A</v>
      </c>
    </row>
    <row r="20" spans="1:12" ht="25">
      <c r="A20" s="455" t="s">
        <v>1794</v>
      </c>
      <c r="B20" s="454" t="s">
        <v>668</v>
      </c>
      <c r="C20" s="311" t="s">
        <v>401</v>
      </c>
      <c r="F20" s="540" t="s">
        <v>1593</v>
      </c>
      <c r="G20" s="19" t="e">
        <f>VLOOKUP(F20,$B:$B,1,0)</f>
        <v>#N/A</v>
      </c>
      <c r="H20" s="19" t="e">
        <f>VLOOKUP(F20,$J:$J,1,0)</f>
        <v>#N/A</v>
      </c>
      <c r="J20" s="188" t="s">
        <v>2300</v>
      </c>
      <c r="K20" s="19" t="e">
        <f>VLOOKUP(J20,$B:$B,1,0)</f>
        <v>#N/A</v>
      </c>
      <c r="L20" s="19" t="e">
        <f>VLOOKUP(J20,$F:$F,1,0)</f>
        <v>#N/A</v>
      </c>
    </row>
    <row r="21" spans="1:12" ht="25">
      <c r="A21" s="311"/>
      <c r="B21" s="311"/>
      <c r="C21" s="311"/>
      <c r="F21" s="536" t="s">
        <v>1706</v>
      </c>
      <c r="G21" s="19" t="e">
        <f>VLOOKUP(F21,$B:$B,1,0)</f>
        <v>#N/A</v>
      </c>
      <c r="H21" s="19" t="e">
        <f>VLOOKUP(F21,$J:$J,1,0)</f>
        <v>#N/A</v>
      </c>
      <c r="J21" s="168" t="s">
        <v>60</v>
      </c>
      <c r="K21" s="19" t="e">
        <f>VLOOKUP(J21,$B:$B,1,0)</f>
        <v>#N/A</v>
      </c>
      <c r="L21" s="19" t="str">
        <f>VLOOKUP(J21,$F:$F,1,0)</f>
        <v>deepesh.sharma@ee.iitd.ac.in</v>
      </c>
    </row>
    <row r="22" spans="1:12" ht="14.5">
      <c r="A22" s="311"/>
      <c r="B22" s="311"/>
      <c r="C22" s="311"/>
      <c r="F22" s="536" t="s">
        <v>2388</v>
      </c>
      <c r="G22" s="19" t="e">
        <f>VLOOKUP(F22,$B:$B,1,0)</f>
        <v>#N/A</v>
      </c>
      <c r="H22" s="19" t="e">
        <f>VLOOKUP(F22,$J:$J,1,0)</f>
        <v>#N/A</v>
      </c>
      <c r="J22" s="99"/>
      <c r="K22" s="19" t="e">
        <f>VLOOKUP(J22,$B:$B,1,0)</f>
        <v>#N/A</v>
      </c>
      <c r="L22" s="19" t="e">
        <f>VLOOKUP(J22,$F:$F,1,0)</f>
        <v>#N/A</v>
      </c>
    </row>
    <row r="23" spans="1:12" ht="25">
      <c r="A23" s="311" t="s">
        <v>1798</v>
      </c>
      <c r="B23" s="311" t="s">
        <v>851</v>
      </c>
      <c r="C23" s="311" t="s">
        <v>401</v>
      </c>
      <c r="F23" s="541" t="s">
        <v>2388</v>
      </c>
      <c r="G23" s="19" t="e">
        <f>VLOOKUP(F23,$B:$B,1,0)</f>
        <v>#N/A</v>
      </c>
      <c r="H23" s="19" t="e">
        <f>VLOOKUP(F23,$J:$J,1,0)</f>
        <v>#N/A</v>
      </c>
      <c r="J23" s="168" t="s">
        <v>72</v>
      </c>
      <c r="K23" s="529" t="str">
        <f>VLOOKUP(J23,$B:$B,1,0)</f>
        <v>a.mohapatra@niser.ac.in</v>
      </c>
      <c r="L23" s="19" t="e">
        <f>VLOOKUP(J23,$F:$F,1,0)</f>
        <v>#N/A</v>
      </c>
    </row>
    <row r="24" spans="1:12" ht="25">
      <c r="A24" s="311" t="s">
        <v>1799</v>
      </c>
      <c r="B24" s="311" t="s">
        <v>856</v>
      </c>
      <c r="C24" s="311" t="s">
        <v>401</v>
      </c>
      <c r="F24" s="536" t="s">
        <v>1141</v>
      </c>
      <c r="G24" s="19" t="str">
        <f>VLOOKUP(F24,$B:$B,1,0)</f>
        <v>msrrao@iitm.ac.in</v>
      </c>
      <c r="H24" s="19" t="e">
        <f>VLOOKUP(F24,$J:$J,1,0)</f>
        <v>#N/A</v>
      </c>
      <c r="J24" s="99"/>
      <c r="K24" s="19" t="e">
        <f>VLOOKUP(J24,$B:$B,1,0)</f>
        <v>#N/A</v>
      </c>
      <c r="L24" s="19" t="e">
        <f>VLOOKUP(J24,$F:$F,1,0)</f>
        <v>#N/A</v>
      </c>
    </row>
    <row r="25" spans="1:12" ht="25">
      <c r="A25" s="311" t="s">
        <v>1581</v>
      </c>
      <c r="B25" s="548" t="s">
        <v>2581</v>
      </c>
      <c r="C25" s="311" t="s">
        <v>401</v>
      </c>
      <c r="F25" s="536" t="s">
        <v>2389</v>
      </c>
      <c r="G25" s="19" t="e">
        <f>VLOOKUP(F25,$B:$B,1,0)</f>
        <v>#N/A</v>
      </c>
      <c r="H25" s="19" t="e">
        <f>VLOOKUP(F25,$J:$J,1,0)</f>
        <v>#N/A</v>
      </c>
      <c r="J25" s="99" t="s">
        <v>1501</v>
      </c>
      <c r="K25" s="19" t="e">
        <f>VLOOKUP(J25,$B:$B,1,0)</f>
        <v>#N/A</v>
      </c>
      <c r="L25" s="19" t="e">
        <f>VLOOKUP(J25,$F:$F,1,0)</f>
        <v>#N/A</v>
      </c>
    </row>
    <row r="26" spans="1:12" ht="14.5">
      <c r="A26" s="542" t="s">
        <v>1366</v>
      </c>
      <c r="B26" s="542" t="s">
        <v>133</v>
      </c>
      <c r="C26" s="311" t="s">
        <v>2368</v>
      </c>
      <c r="F26" s="536" t="s">
        <v>2390</v>
      </c>
      <c r="G26" s="19" t="e">
        <f>VLOOKUP(F26,$B:$B,1,0)</f>
        <v>#N/A</v>
      </c>
      <c r="H26" s="19" t="e">
        <f>VLOOKUP(F26,$J:$J,1,0)</f>
        <v>#N/A</v>
      </c>
      <c r="J26" s="188" t="s">
        <v>1893</v>
      </c>
      <c r="K26" s="19" t="e">
        <f>VLOOKUP(J26,$B:$B,1,0)</f>
        <v>#N/A</v>
      </c>
      <c r="L26" s="19" t="e">
        <f>VLOOKUP(J26,$F:$F,1,0)</f>
        <v>#N/A</v>
      </c>
    </row>
    <row r="27" spans="1:12" ht="14.5">
      <c r="A27" s="542" t="s">
        <v>2356</v>
      </c>
      <c r="B27" s="542" t="s">
        <v>141</v>
      </c>
      <c r="C27" s="311" t="s">
        <v>2368</v>
      </c>
      <c r="F27" s="536"/>
      <c r="G27" s="19" t="e">
        <f>VLOOKUP(F27,$B:$B,1,0)</f>
        <v>#N/A</v>
      </c>
      <c r="H27" s="19" t="e">
        <f>VLOOKUP(F27,$J:$J,1,0)</f>
        <v>#N/A</v>
      </c>
      <c r="J27" s="168" t="s">
        <v>90</v>
      </c>
      <c r="K27" s="19" t="e">
        <f>VLOOKUP(J27,$B:$B,1,0)</f>
        <v>#N/A</v>
      </c>
      <c r="L27" s="19" t="e">
        <f>VLOOKUP(J27,$F:$F,1,0)</f>
        <v>#N/A</v>
      </c>
    </row>
    <row r="28" spans="1:12" ht="25">
      <c r="A28" s="542" t="s">
        <v>2357</v>
      </c>
      <c r="B28" s="542" t="s">
        <v>170</v>
      </c>
      <c r="C28" s="311" t="s">
        <v>175</v>
      </c>
      <c r="F28" s="536" t="s">
        <v>658</v>
      </c>
      <c r="G28" s="19" t="e">
        <f>VLOOKUP(F28,$B:$B,1,0)</f>
        <v>#N/A</v>
      </c>
      <c r="H28" s="19" t="e">
        <f>VLOOKUP(F28,$J:$J,1,0)</f>
        <v>#N/A</v>
      </c>
      <c r="J28" s="188" t="s">
        <v>828</v>
      </c>
      <c r="K28" s="19" t="e">
        <f>VLOOKUP(J28,$B:$B,1,0)</f>
        <v>#N/A</v>
      </c>
      <c r="L28" s="19" t="e">
        <f>VLOOKUP(J28,$F:$F,1,0)</f>
        <v>#N/A</v>
      </c>
    </row>
    <row r="29" spans="1:12" ht="25">
      <c r="A29" s="542" t="s">
        <v>1485</v>
      </c>
      <c r="B29" s="542" t="s">
        <v>180</v>
      </c>
      <c r="C29" s="311" t="s">
        <v>2368</v>
      </c>
      <c r="F29" s="532" t="s">
        <v>718</v>
      </c>
      <c r="G29" s="19" t="e">
        <f>VLOOKUP(F29,$B:$B,1,0)</f>
        <v>#N/A</v>
      </c>
      <c r="H29" s="19" t="e">
        <f>VLOOKUP(F29,$J:$J,1,0)</f>
        <v>#N/A</v>
      </c>
      <c r="J29" s="188" t="s">
        <v>1737</v>
      </c>
      <c r="K29" s="19" t="e">
        <f>VLOOKUP(J29,$B:$B,1,0)</f>
        <v>#N/A</v>
      </c>
      <c r="L29" s="19" t="str">
        <f>VLOOKUP(J29,$F:$F,1,0)</f>
        <v>ee19d021@smail.iitm.ac.in</v>
      </c>
    </row>
    <row r="30" spans="1:12" ht="14.5">
      <c r="A30" s="542" t="s">
        <v>2358</v>
      </c>
      <c r="B30" s="542" t="s">
        <v>222</v>
      </c>
      <c r="C30" s="311" t="s">
        <v>2368</v>
      </c>
      <c r="F30" s="539" t="s">
        <v>2280</v>
      </c>
      <c r="G30" s="19" t="e">
        <f>VLOOKUP(F30,$B:$B,1,0)</f>
        <v>#N/A</v>
      </c>
      <c r="H30" s="19" t="e">
        <f>VLOOKUP(F30,$J:$J,1,0)</f>
        <v>#N/A</v>
      </c>
      <c r="J30" s="168" t="s">
        <v>100</v>
      </c>
      <c r="K30" s="19" t="e">
        <f>VLOOKUP(J30,$B:$B,1,0)</f>
        <v>#N/A</v>
      </c>
      <c r="L30" s="19" t="e">
        <f>VLOOKUP(J30,$F:$F,1,0)</f>
        <v>#N/A</v>
      </c>
    </row>
    <row r="31" spans="1:12" ht="14.5">
      <c r="A31" s="542" t="s">
        <v>2359</v>
      </c>
      <c r="B31" s="542" t="s">
        <v>375</v>
      </c>
      <c r="C31" s="311" t="s">
        <v>2509</v>
      </c>
      <c r="F31" s="540" t="s">
        <v>790</v>
      </c>
      <c r="G31" s="19" t="e">
        <f>VLOOKUP(F31,$B:$B,1,0)</f>
        <v>#N/A</v>
      </c>
      <c r="H31" s="19" t="e">
        <f>VLOOKUP(F31,$J:$J,1,0)</f>
        <v>#N/A</v>
      </c>
      <c r="J31" s="99"/>
      <c r="K31" s="19" t="e">
        <f>VLOOKUP(J31,$B:$B,1,0)</f>
        <v>#N/A</v>
      </c>
      <c r="L31" s="19" t="e">
        <f>VLOOKUP(J31,$F:$F,1,0)</f>
        <v>#N/A</v>
      </c>
    </row>
    <row r="32" spans="1:12" ht="25">
      <c r="A32" s="542" t="s">
        <v>2360</v>
      </c>
      <c r="B32" s="542" t="s">
        <v>500</v>
      </c>
      <c r="C32" s="311" t="s">
        <v>2368</v>
      </c>
      <c r="F32" s="536" t="s">
        <v>1611</v>
      </c>
      <c r="G32" s="19" t="e">
        <f>VLOOKUP(F32,$B:$B,1,0)</f>
        <v>#N/A</v>
      </c>
      <c r="H32" s="19" t="e">
        <f>VLOOKUP(F32,$J:$J,1,0)</f>
        <v>#N/A</v>
      </c>
      <c r="J32" s="458" t="s">
        <v>2313</v>
      </c>
      <c r="K32" s="19" t="e">
        <f>VLOOKUP(J32,$B:$B,1,0)</f>
        <v>#N/A</v>
      </c>
      <c r="L32" s="19" t="e">
        <f>VLOOKUP(J32,$F:$F,1,0)</f>
        <v>#N/A</v>
      </c>
    </row>
    <row r="33" spans="1:12" ht="14.5">
      <c r="A33" s="542" t="s">
        <v>2361</v>
      </c>
      <c r="B33" s="60" t="s">
        <v>2590</v>
      </c>
      <c r="C33" s="522" t="s">
        <v>2509</v>
      </c>
      <c r="F33" s="532" t="s">
        <v>301</v>
      </c>
      <c r="G33" s="529" t="str">
        <f>VLOOKUP(F33,$B:$B,1,0)</f>
        <v>ashish.arora@iiserpune.ac.in</v>
      </c>
      <c r="H33" s="19" t="e">
        <f>VLOOKUP(F33,$J:$J,1,0)</f>
        <v>#N/A</v>
      </c>
      <c r="J33" s="99"/>
      <c r="K33" s="19" t="e">
        <f>VLOOKUP(J33,$B:$B,1,0)</f>
        <v>#N/A</v>
      </c>
      <c r="L33" s="19" t="e">
        <f>VLOOKUP(J33,$F:$F,1,0)</f>
        <v>#N/A</v>
      </c>
    </row>
    <row r="34" spans="1:12" ht="25">
      <c r="A34" s="542" t="s">
        <v>2362</v>
      </c>
      <c r="B34" s="542" t="s">
        <v>1495</v>
      </c>
      <c r="C34" s="311" t="s">
        <v>2509</v>
      </c>
      <c r="F34" s="533" t="s">
        <v>477</v>
      </c>
      <c r="G34" s="529" t="str">
        <f>VLOOKUP(F34,$B:$B,1,0)</f>
        <v>skvarshney@ece.iitkgp.ac.in</v>
      </c>
      <c r="H34" s="19" t="e">
        <f>VLOOKUP(F34,$J:$J,1,0)</f>
        <v>#N/A</v>
      </c>
      <c r="J34" s="99"/>
      <c r="K34" s="19" t="e">
        <f>VLOOKUP(J34,$B:$B,1,0)</f>
        <v>#N/A</v>
      </c>
      <c r="L34" s="19" t="e">
        <f>VLOOKUP(J34,$F:$F,1,0)</f>
        <v>#N/A</v>
      </c>
    </row>
    <row r="35" spans="1:12" ht="25">
      <c r="A35" s="542" t="s">
        <v>2363</v>
      </c>
      <c r="B35" s="542" t="s">
        <v>1531</v>
      </c>
      <c r="C35" s="311" t="s">
        <v>2509</v>
      </c>
      <c r="F35" s="528" t="s">
        <v>70</v>
      </c>
      <c r="G35" s="529" t="str">
        <f>VLOOKUP(F35,$B:$B,1,0)</f>
        <v>umakant.rapol@iiserpune.ac.in</v>
      </c>
      <c r="H35" s="19" t="str">
        <f>VLOOKUP(F35,$J:$J,1,0)</f>
        <v>umakant.rapol@iiserpune.ac.in</v>
      </c>
      <c r="J35" s="99"/>
      <c r="K35" s="19" t="e">
        <f>VLOOKUP(J35,$B:$B,1,0)</f>
        <v>#N/A</v>
      </c>
      <c r="L35" s="19" t="e">
        <f>VLOOKUP(J35,$F:$F,1,0)</f>
        <v>#N/A</v>
      </c>
    </row>
    <row r="36" spans="1:12" ht="25">
      <c r="A36" s="542" t="s">
        <v>2364</v>
      </c>
      <c r="B36" s="542" t="s">
        <v>1534</v>
      </c>
      <c r="C36" s="311" t="s">
        <v>2509</v>
      </c>
      <c r="F36" s="530" t="s">
        <v>60</v>
      </c>
      <c r="G36" s="19" t="e">
        <f>VLOOKUP(F36,$B:$B,1,0)</f>
        <v>#N/A</v>
      </c>
      <c r="H36" s="19" t="str">
        <f>VLOOKUP(F36,$J:$J,1,0)</f>
        <v>deepesh.sharma@ee.iitd.ac.in</v>
      </c>
      <c r="J36" s="188" t="s">
        <v>2306</v>
      </c>
      <c r="K36" s="19" t="e">
        <f>VLOOKUP(J36,$B:$B,1,0)</f>
        <v>#N/A</v>
      </c>
      <c r="L36" s="19" t="e">
        <f>VLOOKUP(J36,$F:$F,1,0)</f>
        <v>#N/A</v>
      </c>
    </row>
    <row r="37" spans="1:12" ht="25">
      <c r="A37" s="542" t="s">
        <v>2365</v>
      </c>
      <c r="B37" s="542" t="s">
        <v>1578</v>
      </c>
      <c r="C37" s="311" t="s">
        <v>2509</v>
      </c>
      <c r="F37" s="530" t="s">
        <v>1442</v>
      </c>
      <c r="G37" s="19" t="e">
        <f>VLOOKUP(F37,$B:$B,1,0)</f>
        <v>#N/A</v>
      </c>
      <c r="H37" s="19" t="e">
        <f>VLOOKUP(F37,$J:$J,1,0)</f>
        <v>#N/A</v>
      </c>
      <c r="J37" s="188" t="s">
        <v>814</v>
      </c>
      <c r="K37" s="19" t="e">
        <f>VLOOKUP(J37,$B:$B,1,0)</f>
        <v>#N/A</v>
      </c>
      <c r="L37" s="19" t="e">
        <f>VLOOKUP(J37,$F:$F,1,0)</f>
        <v>#N/A</v>
      </c>
    </row>
    <row r="38" spans="1:12" ht="25">
      <c r="A38" s="542" t="s">
        <v>2366</v>
      </c>
      <c r="B38" s="548" t="s">
        <v>2587</v>
      </c>
      <c r="C38" s="311" t="s">
        <v>2509</v>
      </c>
      <c r="F38" s="531" t="s">
        <v>1432</v>
      </c>
      <c r="G38" s="19" t="e">
        <f>VLOOKUP(F38,$B:$B,1,0)</f>
        <v>#N/A</v>
      </c>
      <c r="H38" s="19" t="e">
        <f>VLOOKUP(F38,$J:$J,1,0)</f>
        <v>#N/A</v>
      </c>
      <c r="J38" s="188" t="s">
        <v>2302</v>
      </c>
      <c r="K38" s="19" t="e">
        <f>VLOOKUP(J38,$B:$B,1,0)</f>
        <v>#N/A</v>
      </c>
      <c r="L38" s="19" t="e">
        <f>VLOOKUP(J38,$F:$F,1,0)</f>
        <v>#N/A</v>
      </c>
    </row>
    <row r="39" spans="1:12" ht="14.5">
      <c r="A39" s="542" t="s">
        <v>2367</v>
      </c>
      <c r="B39" s="542" t="s">
        <v>2285</v>
      </c>
      <c r="C39" s="311" t="s">
        <v>2509</v>
      </c>
      <c r="F39" s="532" t="s">
        <v>974</v>
      </c>
      <c r="G39" s="19" t="e">
        <f>VLOOKUP(F39,$B:$B,1,0)</f>
        <v>#N/A</v>
      </c>
      <c r="H39" s="19" t="e">
        <f>VLOOKUP(F39,$J:$J,1,0)</f>
        <v>#N/A</v>
      </c>
    </row>
    <row r="40" spans="1:12" ht="14.5">
      <c r="A40" s="287" t="s">
        <v>2584</v>
      </c>
      <c r="B40" s="646" t="s">
        <v>186</v>
      </c>
      <c r="C40" s="311" t="s">
        <v>2509</v>
      </c>
      <c r="F40" s="532"/>
    </row>
    <row r="41" spans="1:12" ht="25">
      <c r="A41" s="287" t="s">
        <v>2585</v>
      </c>
      <c r="B41" s="646" t="s">
        <v>2506</v>
      </c>
      <c r="C41" s="167" t="s">
        <v>2586</v>
      </c>
      <c r="F41" s="532"/>
    </row>
    <row r="42" spans="1:12" ht="14.5">
      <c r="A42" t="s">
        <v>2256</v>
      </c>
      <c r="B42" s="60" t="s">
        <v>2259</v>
      </c>
      <c r="F42" s="532"/>
      <c r="H42" s="19" t="e">
        <f>VLOOKUP(F42,$J:$J,1,0)</f>
        <v>#N/A</v>
      </c>
    </row>
    <row r="43" spans="1:12" ht="14.5">
      <c r="A43" s="543" t="s">
        <v>877</v>
      </c>
      <c r="B43" s="19" t="s">
        <v>480</v>
      </c>
      <c r="C43" s="19" t="s">
        <v>262</v>
      </c>
      <c r="F43" s="533" t="s">
        <v>1890</v>
      </c>
      <c r="G43" s="19" t="e">
        <f>VLOOKUP(F43,$B:$B,1,0)</f>
        <v>#N/A</v>
      </c>
      <c r="H43" s="19" t="e">
        <f>VLOOKUP(F43,$J:$J,1,0)</f>
        <v>#N/A</v>
      </c>
    </row>
    <row r="44" spans="1:12" ht="14.5">
      <c r="A44" s="543" t="s">
        <v>880</v>
      </c>
      <c r="B44" s="19" t="s">
        <v>740</v>
      </c>
      <c r="C44" s="167" t="s">
        <v>262</v>
      </c>
      <c r="F44" s="528" t="s">
        <v>1454</v>
      </c>
      <c r="G44" s="19" t="e">
        <f>VLOOKUP(F44,$B:$B,1,0)</f>
        <v>#N/A</v>
      </c>
      <c r="H44" s="19" t="e">
        <f>VLOOKUP(F44,$J:$J,1,0)</f>
        <v>#N/A</v>
      </c>
    </row>
    <row r="45" spans="1:12" ht="14.5">
      <c r="A45" s="543" t="s">
        <v>884</v>
      </c>
      <c r="B45" s="19" t="s">
        <v>675</v>
      </c>
      <c r="C45" s="167" t="s">
        <v>262</v>
      </c>
      <c r="F45" s="530" t="s">
        <v>1466</v>
      </c>
      <c r="G45" s="19" t="e">
        <f>VLOOKUP(F45,$B:$B,1,0)</f>
        <v>#N/A</v>
      </c>
      <c r="H45" s="19" t="e">
        <f>VLOOKUP(F45,$J:$J,1,0)</f>
        <v>#N/A</v>
      </c>
    </row>
    <row r="46" spans="1:12" ht="14.5">
      <c r="A46" s="543" t="s">
        <v>886</v>
      </c>
      <c r="B46" s="19" t="s">
        <v>889</v>
      </c>
      <c r="C46" s="167" t="s">
        <v>262</v>
      </c>
      <c r="F46" s="531" t="s">
        <v>974</v>
      </c>
      <c r="G46" s="19" t="e">
        <f>VLOOKUP(F46,$B:$B,1,0)</f>
        <v>#N/A</v>
      </c>
      <c r="H46" s="19" t="e">
        <f>VLOOKUP(F46,$J:$J,1,0)</f>
        <v>#N/A</v>
      </c>
    </row>
    <row r="47" spans="1:12" ht="14.5">
      <c r="A47" s="543" t="s">
        <v>890</v>
      </c>
      <c r="B47" s="19" t="s">
        <v>646</v>
      </c>
      <c r="C47" s="167" t="s">
        <v>262</v>
      </c>
      <c r="F47" s="533" t="s">
        <v>2334</v>
      </c>
      <c r="G47" s="19" t="e">
        <f>VLOOKUP(F47,$B:$B,1,0)</f>
        <v>#N/A</v>
      </c>
      <c r="H47" s="19" t="e">
        <f>VLOOKUP(F47,$J:$J,1,0)</f>
        <v>#N/A</v>
      </c>
    </row>
    <row r="48" spans="1:12" ht="14.5">
      <c r="A48" s="543" t="s">
        <v>892</v>
      </c>
      <c r="B48" s="19" t="s">
        <v>150</v>
      </c>
      <c r="C48" s="167" t="s">
        <v>262</v>
      </c>
      <c r="F48" s="534" t="s">
        <v>1562</v>
      </c>
      <c r="G48" s="19" t="e">
        <f>VLOOKUP(F48,$B:$B,1,0)</f>
        <v>#N/A</v>
      </c>
      <c r="H48" s="19" t="e">
        <f>VLOOKUP(F48,$J:$J,1,0)</f>
        <v>#N/A</v>
      </c>
    </row>
    <row r="49" spans="1:8" ht="14.5">
      <c r="A49" s="543" t="s">
        <v>895</v>
      </c>
      <c r="B49" s="19" t="s">
        <v>897</v>
      </c>
      <c r="C49" s="167" t="s">
        <v>262</v>
      </c>
      <c r="F49" s="535" t="s">
        <v>2386</v>
      </c>
      <c r="G49" s="19" t="e">
        <f>VLOOKUP(F49,$B:$B,1,0)</f>
        <v>#N/A</v>
      </c>
      <c r="H49" s="19" t="e">
        <f>VLOOKUP(F49,$J:$J,1,0)</f>
        <v>#N/A</v>
      </c>
    </row>
    <row r="50" spans="1:8" ht="14.5">
      <c r="A50" s="543" t="s">
        <v>898</v>
      </c>
      <c r="B50" s="19" t="s">
        <v>899</v>
      </c>
      <c r="C50" s="167" t="s">
        <v>262</v>
      </c>
      <c r="F50" s="536" t="s">
        <v>1737</v>
      </c>
      <c r="G50" s="19" t="e">
        <f>VLOOKUP(F50,$B:$B,1,0)</f>
        <v>#N/A</v>
      </c>
      <c r="H50" s="19" t="str">
        <f>VLOOKUP(F50,$J:$J,1,0)</f>
        <v>ee19d021@smail.iitm.ac.in</v>
      </c>
    </row>
    <row r="51" spans="1:8">
      <c r="A51" s="543" t="s">
        <v>900</v>
      </c>
      <c r="B51" s="19" t="s">
        <v>692</v>
      </c>
      <c r="C51" s="167" t="s">
        <v>262</v>
      </c>
      <c r="F51" s="544" t="s">
        <v>974</v>
      </c>
      <c r="G51" s="19" t="e">
        <f>VLOOKUP(F51,$B:$B,1,0)</f>
        <v>#N/A</v>
      </c>
      <c r="H51" s="19" t="e">
        <f>VLOOKUP(F51,$J:$J,1,0)</f>
        <v>#N/A</v>
      </c>
    </row>
    <row r="52" spans="1:8">
      <c r="A52" s="543" t="s">
        <v>905</v>
      </c>
      <c r="B52" s="19" t="s">
        <v>72</v>
      </c>
      <c r="C52" s="167" t="s">
        <v>262</v>
      </c>
      <c r="F52" s="544"/>
      <c r="G52" s="19" t="e">
        <f>VLOOKUP(F52,$B:$B,1,0)</f>
        <v>#N/A</v>
      </c>
      <c r="H52" s="19" t="e">
        <f>VLOOKUP(F52,$J:$J,1,0)</f>
        <v>#N/A</v>
      </c>
    </row>
    <row r="53" spans="1:8" ht="14.5">
      <c r="A53" s="543" t="s">
        <v>912</v>
      </c>
      <c r="B53" s="19" t="s">
        <v>914</v>
      </c>
      <c r="C53" s="167" t="s">
        <v>262</v>
      </c>
      <c r="F53" s="538" t="s">
        <v>88</v>
      </c>
      <c r="G53" s="19" t="e">
        <f>VLOOKUP(F53,$B:$B,1,0)</f>
        <v>#N/A</v>
      </c>
      <c r="H53" s="19" t="str">
        <f>VLOOKUP(F53,$J:$J,1,0)</f>
        <v>phz228454@iitd.ac.in</v>
      </c>
    </row>
    <row r="54" spans="1:8" ht="14.5">
      <c r="A54" s="543" t="s">
        <v>918</v>
      </c>
      <c r="B54" s="19" t="s">
        <v>839</v>
      </c>
      <c r="C54" s="167" t="s">
        <v>262</v>
      </c>
      <c r="F54" s="539" t="s">
        <v>2387</v>
      </c>
      <c r="G54" s="19" t="e">
        <f>VLOOKUP(F54,$B:$B,1,0)</f>
        <v>#N/A</v>
      </c>
      <c r="H54" s="19" t="e">
        <f>VLOOKUP(F54,$J:$J,1,0)</f>
        <v>#N/A</v>
      </c>
    </row>
    <row r="55" spans="1:8" ht="14.5">
      <c r="A55" s="543" t="s">
        <v>920</v>
      </c>
      <c r="B55" s="19" t="s">
        <v>399</v>
      </c>
      <c r="C55" s="167" t="s">
        <v>262</v>
      </c>
      <c r="F55" s="540" t="s">
        <v>1574</v>
      </c>
      <c r="G55" s="19" t="e">
        <f>VLOOKUP(F55,$B:$B,1,0)</f>
        <v>#N/A</v>
      </c>
      <c r="H55" s="19" t="str">
        <f>VLOOKUP(F55,$J:$J,1,0)</f>
        <v>pmohta@iitk.ac.in</v>
      </c>
    </row>
    <row r="56" spans="1:8" ht="14.5">
      <c r="A56" s="543" t="s">
        <v>922</v>
      </c>
      <c r="B56" s="19" t="s">
        <v>280</v>
      </c>
      <c r="C56" s="167" t="s">
        <v>262</v>
      </c>
      <c r="F56" s="536" t="s">
        <v>1710</v>
      </c>
      <c r="G56" s="19" t="e">
        <f>VLOOKUP(F56,$B:$B,1,0)</f>
        <v>#N/A</v>
      </c>
      <c r="H56" s="19" t="e">
        <f>VLOOKUP(F56,$J:$J,1,0)</f>
        <v>#N/A</v>
      </c>
    </row>
    <row r="57" spans="1:8" ht="14.5">
      <c r="A57" s="543" t="s">
        <v>925</v>
      </c>
      <c r="B57" s="19" t="s">
        <v>927</v>
      </c>
      <c r="C57" s="167" t="s">
        <v>262</v>
      </c>
      <c r="F57" s="536" t="s">
        <v>1722</v>
      </c>
      <c r="G57" s="19" t="e">
        <f>VLOOKUP(F57,$B:$B,1,0)</f>
        <v>#N/A</v>
      </c>
      <c r="H57" s="19" t="e">
        <f>VLOOKUP(F57,$J:$J,1,0)</f>
        <v>#N/A</v>
      </c>
    </row>
    <row r="58" spans="1:8" ht="14.5">
      <c r="A58" s="543" t="s">
        <v>928</v>
      </c>
      <c r="B58" s="19" t="s">
        <v>295</v>
      </c>
      <c r="C58" s="167" t="s">
        <v>262</v>
      </c>
      <c r="F58" s="536" t="s">
        <v>1722</v>
      </c>
      <c r="G58" s="19" t="e">
        <f>VLOOKUP(F58,$B:$B,1,0)</f>
        <v>#N/A</v>
      </c>
      <c r="H58" s="19" t="e">
        <f>VLOOKUP(F58,$J:$J,1,0)</f>
        <v>#N/A</v>
      </c>
    </row>
    <row r="59" spans="1:8" ht="14.5">
      <c r="A59" s="543" t="s">
        <v>929</v>
      </c>
      <c r="B59" s="19" t="s">
        <v>931</v>
      </c>
      <c r="C59" s="167" t="s">
        <v>262</v>
      </c>
      <c r="F59" s="536" t="s">
        <v>974</v>
      </c>
      <c r="G59" s="19" t="e">
        <f>VLOOKUP(F59,$B:$B,1,0)</f>
        <v>#N/A</v>
      </c>
      <c r="H59" s="19" t="e">
        <f>VLOOKUP(F59,$J:$J,1,0)</f>
        <v>#N/A</v>
      </c>
    </row>
    <row r="60" spans="1:8" ht="14.5">
      <c r="A60" s="543" t="s">
        <v>932</v>
      </c>
      <c r="B60" s="19" t="s">
        <v>934</v>
      </c>
      <c r="C60" s="167" t="s">
        <v>262</v>
      </c>
      <c r="F60" s="536" t="s">
        <v>2391</v>
      </c>
      <c r="G60" s="19" t="e">
        <f>VLOOKUP(F60,$B:$B,1,0)</f>
        <v>#N/A</v>
      </c>
      <c r="H60" s="19" t="e">
        <f>VLOOKUP(F60,$J:$J,1,0)</f>
        <v>#N/A</v>
      </c>
    </row>
    <row r="61" spans="1:8" ht="14.5">
      <c r="A61" s="543" t="s">
        <v>935</v>
      </c>
      <c r="B61" s="19" t="s">
        <v>450</v>
      </c>
      <c r="C61" s="167" t="s">
        <v>262</v>
      </c>
      <c r="F61" s="536" t="s">
        <v>2392</v>
      </c>
      <c r="G61" s="19" t="e">
        <f>VLOOKUP(F61,$B:$B,1,0)</f>
        <v>#N/A</v>
      </c>
      <c r="H61" s="19" t="e">
        <f>VLOOKUP(F61,$J:$J,1,0)</f>
        <v>#N/A</v>
      </c>
    </row>
    <row r="62" spans="1:8" ht="14.5">
      <c r="A62" s="543" t="s">
        <v>941</v>
      </c>
      <c r="B62" s="19" t="s">
        <v>389</v>
      </c>
      <c r="C62" s="167" t="s">
        <v>262</v>
      </c>
      <c r="F62" s="536" t="s">
        <v>974</v>
      </c>
      <c r="G62" s="19" t="e">
        <f>VLOOKUP(F62,$B:$B,1,0)</f>
        <v>#N/A</v>
      </c>
      <c r="H62" s="19" t="e">
        <f>VLOOKUP(F62,$J:$J,1,0)</f>
        <v>#N/A</v>
      </c>
    </row>
    <row r="63" spans="1:8" ht="14.5">
      <c r="A63" s="543" t="s">
        <v>946</v>
      </c>
      <c r="B63" s="19" t="s">
        <v>723</v>
      </c>
      <c r="C63" s="167" t="s">
        <v>262</v>
      </c>
      <c r="F63" s="536" t="s">
        <v>663</v>
      </c>
      <c r="G63" s="19" t="e">
        <f>VLOOKUP(F63,$B:$B,1,0)</f>
        <v>#N/A</v>
      </c>
      <c r="H63" s="19" t="e">
        <f>VLOOKUP(F63,$J:$J,1,0)</f>
        <v>#N/A</v>
      </c>
    </row>
    <row r="64" spans="1:8" ht="14.5">
      <c r="A64" s="543" t="s">
        <v>948</v>
      </c>
      <c r="B64" s="19" t="s">
        <v>274</v>
      </c>
      <c r="C64" s="167" t="s">
        <v>262</v>
      </c>
      <c r="F64" s="532" t="s">
        <v>738</v>
      </c>
      <c r="G64" s="19" t="e">
        <f>VLOOKUP(F64,$B:$B,1,0)</f>
        <v>#N/A</v>
      </c>
      <c r="H64" s="19" t="e">
        <f>VLOOKUP(F64,$J:$J,1,0)</f>
        <v>#N/A</v>
      </c>
    </row>
    <row r="65" spans="1:8" ht="14.5">
      <c r="A65" s="543" t="s">
        <v>951</v>
      </c>
      <c r="B65" s="19" t="s">
        <v>512</v>
      </c>
      <c r="C65" s="167" t="s">
        <v>262</v>
      </c>
      <c r="F65" s="545" t="s">
        <v>2393</v>
      </c>
      <c r="G65" s="19" t="e">
        <f>VLOOKUP(F65,$B:$B,1,0)</f>
        <v>#N/A</v>
      </c>
      <c r="H65" s="19" t="e">
        <f>VLOOKUP(F65,$J:$J,1,0)</f>
        <v>#N/A</v>
      </c>
    </row>
    <row r="66" spans="1:8" ht="14.5">
      <c r="A66" s="543" t="s">
        <v>956</v>
      </c>
      <c r="B66" s="648" t="s">
        <v>2276</v>
      </c>
      <c r="C66" s="167" t="s">
        <v>262</v>
      </c>
      <c r="F66" s="540" t="s">
        <v>505</v>
      </c>
      <c r="G66" s="19" t="e">
        <f>VLOOKUP(F66,$B:$B,1,0)</f>
        <v>#N/A</v>
      </c>
      <c r="H66" s="19" t="e">
        <f>VLOOKUP(F66,$J:$J,1,0)</f>
        <v>#N/A</v>
      </c>
    </row>
    <row r="67" spans="1:8" ht="14.5">
      <c r="A67" s="543" t="s">
        <v>962</v>
      </c>
      <c r="B67" s="19" t="s">
        <v>227</v>
      </c>
      <c r="C67" s="167" t="s">
        <v>262</v>
      </c>
      <c r="F67" s="536" t="s">
        <v>1613</v>
      </c>
      <c r="G67" s="19" t="e">
        <f>VLOOKUP(F67,$B:$B,1,0)</f>
        <v>#N/A</v>
      </c>
      <c r="H67" s="19" t="e">
        <f>VLOOKUP(F67,$J:$J,1,0)</f>
        <v>#N/A</v>
      </c>
    </row>
    <row r="68" spans="1:8" ht="14.5">
      <c r="A68" s="543" t="s">
        <v>965</v>
      </c>
      <c r="B68" s="19" t="s">
        <v>157</v>
      </c>
      <c r="C68" s="167" t="s">
        <v>262</v>
      </c>
      <c r="F68" s="532" t="s">
        <v>974</v>
      </c>
      <c r="G68" s="19" t="e">
        <f>VLOOKUP(F68,$B:$B,1,0)</f>
        <v>#N/A</v>
      </c>
      <c r="H68" s="19" t="e">
        <f>VLOOKUP(F68,$J:$J,1,0)</f>
        <v>#N/A</v>
      </c>
    </row>
    <row r="69" spans="1:8" ht="14.5">
      <c r="A69" s="543" t="s">
        <v>967</v>
      </c>
      <c r="B69" s="19" t="s">
        <v>968</v>
      </c>
      <c r="C69" s="167" t="s">
        <v>262</v>
      </c>
      <c r="F69" s="533" t="s">
        <v>215</v>
      </c>
      <c r="G69" s="19" t="e">
        <f>VLOOKUP(F69,$B:$B,1,0)</f>
        <v>#N/A</v>
      </c>
      <c r="H69" s="19" t="e">
        <f>VLOOKUP(F69,$J:$J,1,0)</f>
        <v>#N/A</v>
      </c>
    </row>
    <row r="70" spans="1:8">
      <c r="A70" s="543" t="s">
        <v>969</v>
      </c>
      <c r="B70" s="19" t="s">
        <v>243</v>
      </c>
      <c r="C70" s="167" t="s">
        <v>262</v>
      </c>
    </row>
    <row r="71" spans="1:8">
      <c r="A71" s="543" t="s">
        <v>970</v>
      </c>
      <c r="B71" s="19" t="s">
        <v>460</v>
      </c>
      <c r="C71" s="167" t="s">
        <v>262</v>
      </c>
    </row>
    <row r="72" spans="1:8">
      <c r="A72" s="543" t="s">
        <v>975</v>
      </c>
      <c r="B72" s="19" t="s">
        <v>977</v>
      </c>
      <c r="C72" s="167" t="s">
        <v>262</v>
      </c>
    </row>
    <row r="73" spans="1:8">
      <c r="A73" s="543" t="s">
        <v>978</v>
      </c>
      <c r="B73" s="19" t="s">
        <v>495</v>
      </c>
      <c r="C73" s="167" t="s">
        <v>262</v>
      </c>
    </row>
    <row r="74" spans="1:8">
      <c r="A74" s="543" t="s">
        <v>979</v>
      </c>
      <c r="B74" s="19" t="s">
        <v>651</v>
      </c>
      <c r="C74" s="167" t="s">
        <v>262</v>
      </c>
    </row>
    <row r="75" spans="1:8">
      <c r="A75" s="543" t="s">
        <v>981</v>
      </c>
      <c r="B75" s="19" t="s">
        <v>485</v>
      </c>
      <c r="C75" s="167" t="s">
        <v>262</v>
      </c>
    </row>
    <row r="76" spans="1:8">
      <c r="A76" s="543" t="s">
        <v>983</v>
      </c>
      <c r="B76" s="19" t="s">
        <v>986</v>
      </c>
      <c r="C76" s="167" t="s">
        <v>262</v>
      </c>
    </row>
    <row r="77" spans="1:8">
      <c r="A77" s="543" t="s">
        <v>987</v>
      </c>
      <c r="B77" s="19" t="s">
        <v>988</v>
      </c>
      <c r="C77" s="167" t="s">
        <v>262</v>
      </c>
    </row>
    <row r="78" spans="1:8">
      <c r="A78" s="543" t="s">
        <v>989</v>
      </c>
      <c r="B78" s="19" t="s">
        <v>990</v>
      </c>
      <c r="C78" s="167" t="s">
        <v>262</v>
      </c>
    </row>
    <row r="79" spans="1:8">
      <c r="A79" s="543" t="s">
        <v>992</v>
      </c>
      <c r="B79" s="19" t="s">
        <v>843</v>
      </c>
      <c r="C79" s="167" t="s">
        <v>262</v>
      </c>
    </row>
    <row r="80" spans="1:8">
      <c r="A80" s="543" t="s">
        <v>994</v>
      </c>
      <c r="B80" s="19" t="s">
        <v>379</v>
      </c>
      <c r="C80" s="167" t="s">
        <v>262</v>
      </c>
    </row>
    <row r="81" spans="1:3">
      <c r="A81" s="543" t="s">
        <v>995</v>
      </c>
      <c r="B81" s="19" t="s">
        <v>997</v>
      </c>
      <c r="C81" s="167" t="s">
        <v>262</v>
      </c>
    </row>
    <row r="82" spans="1:3">
      <c r="A82" s="543" t="s">
        <v>998</v>
      </c>
      <c r="B82" s="19" t="s">
        <v>999</v>
      </c>
      <c r="C82" s="167" t="s">
        <v>262</v>
      </c>
    </row>
    <row r="83" spans="1:3">
      <c r="A83" s="543" t="s">
        <v>1000</v>
      </c>
      <c r="B83" s="19" t="s">
        <v>319</v>
      </c>
      <c r="C83" s="167" t="s">
        <v>262</v>
      </c>
    </row>
    <row r="84" spans="1:3">
      <c r="A84" s="543" t="s">
        <v>1001</v>
      </c>
      <c r="B84" s="19" t="s">
        <v>609</v>
      </c>
      <c r="C84" s="167" t="s">
        <v>262</v>
      </c>
    </row>
    <row r="85" spans="1:3">
      <c r="A85" s="543" t="s">
        <v>1006</v>
      </c>
      <c r="B85" s="19" t="s">
        <v>290</v>
      </c>
      <c r="C85" s="167" t="s">
        <v>262</v>
      </c>
    </row>
    <row r="86" spans="1:3">
      <c r="A86" s="543" t="s">
        <v>1008</v>
      </c>
      <c r="B86" s="19" t="s">
        <v>256</v>
      </c>
      <c r="C86" s="167" t="s">
        <v>262</v>
      </c>
    </row>
    <row r="87" spans="1:3">
      <c r="A87" s="543" t="s">
        <v>1012</v>
      </c>
      <c r="B87" s="19" t="s">
        <v>567</v>
      </c>
      <c r="C87" s="167" t="s">
        <v>262</v>
      </c>
    </row>
    <row r="88" spans="1:3">
      <c r="A88" s="543" t="s">
        <v>1015</v>
      </c>
      <c r="B88" s="19" t="s">
        <v>1016</v>
      </c>
      <c r="C88" s="167" t="s">
        <v>262</v>
      </c>
    </row>
    <row r="89" spans="1:3">
      <c r="A89" s="543" t="s">
        <v>1017</v>
      </c>
      <c r="B89" s="19" t="s">
        <v>1019</v>
      </c>
      <c r="C89" s="167" t="s">
        <v>262</v>
      </c>
    </row>
    <row r="90" spans="1:3">
      <c r="A90" s="543" t="s">
        <v>1023</v>
      </c>
      <c r="B90" s="19" t="s">
        <v>1026</v>
      </c>
      <c r="C90" s="167" t="s">
        <v>262</v>
      </c>
    </row>
    <row r="91" spans="1:3">
      <c r="A91" s="543" t="s">
        <v>1029</v>
      </c>
      <c r="B91" s="19" t="s">
        <v>237</v>
      </c>
      <c r="C91" s="167" t="s">
        <v>262</v>
      </c>
    </row>
    <row r="92" spans="1:3">
      <c r="A92" s="543" t="s">
        <v>1030</v>
      </c>
      <c r="B92" s="19" t="s">
        <v>330</v>
      </c>
      <c r="C92" s="167" t="s">
        <v>262</v>
      </c>
    </row>
    <row r="93" spans="1:3">
      <c r="A93" s="543" t="s">
        <v>1036</v>
      </c>
      <c r="B93" s="19" t="s">
        <v>1037</v>
      </c>
      <c r="C93" s="167" t="s">
        <v>262</v>
      </c>
    </row>
    <row r="94" spans="1:3">
      <c r="A94" s="543" t="s">
        <v>1041</v>
      </c>
      <c r="B94" s="19" t="s">
        <v>250</v>
      </c>
      <c r="C94" s="167" t="s">
        <v>262</v>
      </c>
    </row>
    <row r="95" spans="1:3">
      <c r="A95" s="543" t="s">
        <v>1044</v>
      </c>
      <c r="B95" s="19" t="s">
        <v>1045</v>
      </c>
      <c r="C95" s="167" t="s">
        <v>262</v>
      </c>
    </row>
    <row r="96" spans="1:3">
      <c r="A96" s="543" t="s">
        <v>1046</v>
      </c>
      <c r="B96" s="19" t="s">
        <v>832</v>
      </c>
      <c r="C96" s="167" t="s">
        <v>262</v>
      </c>
    </row>
    <row r="97" spans="1:3">
      <c r="A97" s="543" t="s">
        <v>1047</v>
      </c>
      <c r="B97" s="19" t="s">
        <v>571</v>
      </c>
      <c r="C97" s="167" t="s">
        <v>262</v>
      </c>
    </row>
    <row r="98" spans="1:3">
      <c r="A98" s="543" t="s">
        <v>1048</v>
      </c>
      <c r="B98" s="19" t="s">
        <v>413</v>
      </c>
      <c r="C98" s="167" t="s">
        <v>262</v>
      </c>
    </row>
    <row r="99" spans="1:3">
      <c r="A99" s="543" t="s">
        <v>1049</v>
      </c>
      <c r="B99" s="19" t="s">
        <v>268</v>
      </c>
      <c r="C99" s="167" t="s">
        <v>262</v>
      </c>
    </row>
    <row r="100" spans="1:3">
      <c r="A100" s="543" t="s">
        <v>1050</v>
      </c>
      <c r="B100" s="19" t="s">
        <v>823</v>
      </c>
      <c r="C100" s="167" t="s">
        <v>262</v>
      </c>
    </row>
    <row r="101" spans="1:3">
      <c r="A101" s="543" t="s">
        <v>1051</v>
      </c>
      <c r="B101" s="19" t="s">
        <v>394</v>
      </c>
      <c r="C101" s="167" t="s">
        <v>262</v>
      </c>
    </row>
    <row r="102" spans="1:3">
      <c r="A102" s="543" t="s">
        <v>1056</v>
      </c>
      <c r="B102" s="19" t="s">
        <v>795</v>
      </c>
      <c r="C102" s="167" t="s">
        <v>262</v>
      </c>
    </row>
    <row r="103" spans="1:3">
      <c r="A103" s="543" t="s">
        <v>1057</v>
      </c>
      <c r="B103" s="19" t="s">
        <v>324</v>
      </c>
      <c r="C103" s="167" t="s">
        <v>262</v>
      </c>
    </row>
    <row r="104" spans="1:3">
      <c r="A104" s="543" t="s">
        <v>1072</v>
      </c>
      <c r="B104" s="19" t="s">
        <v>438</v>
      </c>
      <c r="C104" s="167" t="s">
        <v>262</v>
      </c>
    </row>
    <row r="105" spans="1:3">
      <c r="A105" s="543" t="s">
        <v>1078</v>
      </c>
      <c r="B105" s="19" t="s">
        <v>1079</v>
      </c>
      <c r="C105" s="167" t="s">
        <v>262</v>
      </c>
    </row>
    <row r="106" spans="1:3">
      <c r="A106" s="543" t="s">
        <v>1080</v>
      </c>
      <c r="B106" s="19" t="s">
        <v>583</v>
      </c>
      <c r="C106" s="167" t="s">
        <v>262</v>
      </c>
    </row>
    <row r="107" spans="1:3">
      <c r="A107" s="543" t="s">
        <v>1081</v>
      </c>
      <c r="B107" s="19" t="s">
        <v>618</v>
      </c>
      <c r="C107" s="167" t="s">
        <v>262</v>
      </c>
    </row>
    <row r="108" spans="1:3">
      <c r="A108" s="543" t="s">
        <v>56</v>
      </c>
      <c r="B108" s="19" t="s">
        <v>1082</v>
      </c>
      <c r="C108" s="167" t="s">
        <v>262</v>
      </c>
    </row>
    <row r="109" spans="1:3">
      <c r="A109" s="543" t="s">
        <v>1085</v>
      </c>
      <c r="B109" s="19" t="s">
        <v>799</v>
      </c>
      <c r="C109" s="167" t="s">
        <v>262</v>
      </c>
    </row>
    <row r="110" spans="1:3">
      <c r="A110" s="543" t="s">
        <v>1086</v>
      </c>
      <c r="B110" s="19" t="s">
        <v>261</v>
      </c>
      <c r="C110" s="167" t="s">
        <v>262</v>
      </c>
    </row>
    <row r="111" spans="1:3">
      <c r="A111" s="543" t="s">
        <v>1090</v>
      </c>
      <c r="B111" s="19" t="s">
        <v>575</v>
      </c>
      <c r="C111" s="167" t="s">
        <v>262</v>
      </c>
    </row>
    <row r="112" spans="1:3">
      <c r="A112" s="543" t="s">
        <v>1091</v>
      </c>
      <c r="B112" s="19" t="s">
        <v>424</v>
      </c>
      <c r="C112" s="167" t="s">
        <v>262</v>
      </c>
    </row>
    <row r="113" spans="1:3">
      <c r="A113" s="543" t="s">
        <v>1092</v>
      </c>
      <c r="B113" s="19" t="s">
        <v>1095</v>
      </c>
      <c r="C113" s="167" t="s">
        <v>262</v>
      </c>
    </row>
    <row r="114" spans="1:3">
      <c r="A114" s="543" t="s">
        <v>1096</v>
      </c>
      <c r="B114" s="19" t="s">
        <v>384</v>
      </c>
      <c r="C114" s="167" t="s">
        <v>262</v>
      </c>
    </row>
    <row r="115" spans="1:3">
      <c r="A115" s="543" t="s">
        <v>1099</v>
      </c>
      <c r="B115" s="19" t="s">
        <v>737</v>
      </c>
      <c r="C115" s="167" t="s">
        <v>262</v>
      </c>
    </row>
    <row r="116" spans="1:3">
      <c r="A116" s="543" t="s">
        <v>1101</v>
      </c>
      <c r="B116" s="19" t="s">
        <v>301</v>
      </c>
      <c r="C116" s="167" t="s">
        <v>262</v>
      </c>
    </row>
    <row r="117" spans="1:3">
      <c r="A117" s="543" t="s">
        <v>1102</v>
      </c>
      <c r="B117" s="19" t="s">
        <v>525</v>
      </c>
      <c r="C117" s="167" t="s">
        <v>262</v>
      </c>
    </row>
    <row r="118" spans="1:3">
      <c r="A118" s="378" t="s">
        <v>1091</v>
      </c>
      <c r="B118" s="19" t="s">
        <v>733</v>
      </c>
      <c r="C118" s="167" t="s">
        <v>262</v>
      </c>
    </row>
    <row r="119" spans="1:3">
      <c r="A119" s="543" t="s">
        <v>1109</v>
      </c>
      <c r="B119" s="19" t="s">
        <v>827</v>
      </c>
      <c r="C119" s="167" t="s">
        <v>262</v>
      </c>
    </row>
    <row r="120" spans="1:3">
      <c r="A120" s="543" t="s">
        <v>1110</v>
      </c>
      <c r="B120" s="19" t="s">
        <v>811</v>
      </c>
      <c r="C120" s="167" t="s">
        <v>262</v>
      </c>
    </row>
    <row r="121" spans="1:3">
      <c r="A121" s="543" t="s">
        <v>1113</v>
      </c>
      <c r="B121" s="19" t="s">
        <v>1114</v>
      </c>
      <c r="C121" s="167" t="s">
        <v>262</v>
      </c>
    </row>
    <row r="122" spans="1:3">
      <c r="A122" s="543" t="s">
        <v>1115</v>
      </c>
      <c r="B122" s="19" t="s">
        <v>1117</v>
      </c>
      <c r="C122" s="167" t="s">
        <v>262</v>
      </c>
    </row>
    <row r="123" spans="1:3">
      <c r="A123" s="543" t="s">
        <v>1121</v>
      </c>
      <c r="B123" s="19" t="s">
        <v>1123</v>
      </c>
      <c r="C123" s="167" t="s">
        <v>262</v>
      </c>
    </row>
    <row r="124" spans="1:3">
      <c r="A124" s="543" t="s">
        <v>1126</v>
      </c>
      <c r="B124" s="19" t="s">
        <v>728</v>
      </c>
      <c r="C124" s="167" t="s">
        <v>262</v>
      </c>
    </row>
    <row r="125" spans="1:3">
      <c r="A125" s="543" t="s">
        <v>1129</v>
      </c>
      <c r="B125" s="19" t="s">
        <v>1130</v>
      </c>
      <c r="C125" s="167" t="s">
        <v>262</v>
      </c>
    </row>
    <row r="126" spans="1:3">
      <c r="A126" s="543" t="s">
        <v>1131</v>
      </c>
      <c r="B126" s="19" t="s">
        <v>803</v>
      </c>
      <c r="C126" s="167" t="s">
        <v>262</v>
      </c>
    </row>
    <row r="127" spans="1:3">
      <c r="A127" s="543" t="s">
        <v>1133</v>
      </c>
      <c r="B127" s="19" t="s">
        <v>847</v>
      </c>
      <c r="C127" s="167" t="s">
        <v>262</v>
      </c>
    </row>
    <row r="128" spans="1:3">
      <c r="A128" s="543" t="s">
        <v>1134</v>
      </c>
      <c r="B128" s="19" t="s">
        <v>579</v>
      </c>
      <c r="C128" s="167" t="s">
        <v>262</v>
      </c>
    </row>
    <row r="129" spans="1:3">
      <c r="A129" s="543" t="s">
        <v>1144</v>
      </c>
      <c r="B129" s="19" t="s">
        <v>1145</v>
      </c>
      <c r="C129" s="167" t="s">
        <v>262</v>
      </c>
    </row>
    <row r="130" spans="1:3">
      <c r="A130" s="543" t="s">
        <v>1146</v>
      </c>
      <c r="B130" s="546" t="s">
        <v>780</v>
      </c>
      <c r="C130" s="167" t="s">
        <v>262</v>
      </c>
    </row>
    <row r="131" spans="1:3">
      <c r="A131" s="543" t="s">
        <v>1147</v>
      </c>
      <c r="B131" s="546" t="s">
        <v>752</v>
      </c>
      <c r="C131" s="167" t="s">
        <v>262</v>
      </c>
    </row>
    <row r="132" spans="1:3">
      <c r="A132" s="543" t="s">
        <v>1153</v>
      </c>
      <c r="B132" s="19" t="s">
        <v>1155</v>
      </c>
      <c r="C132" s="167" t="s">
        <v>262</v>
      </c>
    </row>
    <row r="133" spans="1:3">
      <c r="A133" s="543" t="s">
        <v>1156</v>
      </c>
      <c r="B133" s="19" t="s">
        <v>1158</v>
      </c>
      <c r="C133" s="167" t="s">
        <v>262</v>
      </c>
    </row>
    <row r="134" spans="1:3">
      <c r="A134" s="543" t="s">
        <v>1163</v>
      </c>
      <c r="B134" s="19" t="s">
        <v>1166</v>
      </c>
      <c r="C134" s="167" t="s">
        <v>262</v>
      </c>
    </row>
    <row r="135" spans="1:3">
      <c r="A135" s="543" t="s">
        <v>1167</v>
      </c>
      <c r="B135" s="19" t="s">
        <v>1168</v>
      </c>
      <c r="C135" s="167" t="s">
        <v>262</v>
      </c>
    </row>
    <row r="136" spans="1:3">
      <c r="A136" s="543" t="s">
        <v>1170</v>
      </c>
      <c r="B136" s="19" t="s">
        <v>640</v>
      </c>
      <c r="C136" s="167" t="s">
        <v>262</v>
      </c>
    </row>
    <row r="137" spans="1:3">
      <c r="A137" s="543" t="s">
        <v>1171</v>
      </c>
      <c r="B137" s="19" t="s">
        <v>199</v>
      </c>
      <c r="C137" s="167" t="s">
        <v>262</v>
      </c>
    </row>
    <row r="138" spans="1:3">
      <c r="A138" s="543" t="s">
        <v>1174</v>
      </c>
      <c r="B138" s="19" t="s">
        <v>1176</v>
      </c>
      <c r="C138" s="167" t="s">
        <v>262</v>
      </c>
    </row>
    <row r="139" spans="1:3">
      <c r="A139" s="543" t="s">
        <v>1179</v>
      </c>
      <c r="B139" s="19" t="s">
        <v>1180</v>
      </c>
      <c r="C139" s="167" t="s">
        <v>262</v>
      </c>
    </row>
    <row r="140" spans="1:3">
      <c r="A140" s="543" t="s">
        <v>114</v>
      </c>
      <c r="B140" s="19" t="s">
        <v>1181</v>
      </c>
      <c r="C140" s="167" t="s">
        <v>262</v>
      </c>
    </row>
    <row r="141" spans="1:3">
      <c r="A141" s="543" t="s">
        <v>1182</v>
      </c>
      <c r="B141" s="19" t="s">
        <v>477</v>
      </c>
      <c r="C141" s="167" t="s">
        <v>262</v>
      </c>
    </row>
    <row r="142" spans="1:3">
      <c r="A142" s="543" t="s">
        <v>1184</v>
      </c>
      <c r="B142" s="19" t="s">
        <v>539</v>
      </c>
      <c r="C142" s="167" t="s">
        <v>262</v>
      </c>
    </row>
    <row r="143" spans="1:3">
      <c r="A143" s="543" t="s">
        <v>1195</v>
      </c>
      <c r="B143" s="19" t="s">
        <v>1196</v>
      </c>
      <c r="C143" s="167" t="s">
        <v>262</v>
      </c>
    </row>
    <row r="144" spans="1:3">
      <c r="A144" s="543" t="s">
        <v>1199</v>
      </c>
      <c r="B144" s="19" t="s">
        <v>70</v>
      </c>
      <c r="C144" s="167" t="s">
        <v>262</v>
      </c>
    </row>
    <row r="145" spans="1:3">
      <c r="A145" s="543" t="s">
        <v>1200</v>
      </c>
      <c r="B145" s="19" t="s">
        <v>418</v>
      </c>
      <c r="C145" s="167" t="s">
        <v>262</v>
      </c>
    </row>
    <row r="146" spans="1:3">
      <c r="A146" s="543" t="s">
        <v>1201</v>
      </c>
      <c r="B146" s="19" t="s">
        <v>429</v>
      </c>
      <c r="C146" s="167" t="s">
        <v>262</v>
      </c>
    </row>
    <row r="147" spans="1:3">
      <c r="A147" s="547" t="s">
        <v>1206</v>
      </c>
      <c r="B147" s="546" t="s">
        <v>362</v>
      </c>
      <c r="C147" s="167" t="s">
        <v>262</v>
      </c>
    </row>
    <row r="148" spans="1:3">
      <c r="A148" s="19" t="s">
        <v>2507</v>
      </c>
      <c r="B148" s="546" t="s">
        <v>2505</v>
      </c>
      <c r="C148" s="167" t="s">
        <v>262</v>
      </c>
    </row>
    <row r="149" spans="1:3">
      <c r="A149" s="167" t="s">
        <v>2510</v>
      </c>
      <c r="B149" t="s">
        <v>1141</v>
      </c>
      <c r="C149" s="167" t="s">
        <v>262</v>
      </c>
    </row>
  </sheetData>
  <mergeCells count="2">
    <mergeCell ref="F16:F17"/>
    <mergeCell ref="F51:F52"/>
  </mergeCells>
  <hyperlinks>
    <hyperlink ref="F23" r:id="rId1" xr:uid="{928B8F63-440D-45AA-ADD8-3A574E6AD8AE}"/>
    <hyperlink ref="B131" r:id="rId2" xr:uid="{65F2D275-9966-4934-A9E2-5F4EC199ADFD}"/>
    <hyperlink ref="B130" r:id="rId3" xr:uid="{0878E3F9-62DF-47F7-9F37-4645AB02CD15}"/>
    <hyperlink ref="B147" r:id="rId4" xr:uid="{1C6A7383-BBC1-40C1-B58D-BFEA2D542571}"/>
    <hyperlink ref="B148" r:id="rId5" xr:uid="{E730A945-223B-4313-9546-93C8BFD9BE94}"/>
    <hyperlink ref="J32" r:id="rId6" xr:uid="{69B91115-4C22-4323-89F7-774E6EFAE7B7}"/>
    <hyperlink ref="B25" r:id="rId7" xr:uid="{782E707D-A886-4BBB-ACCF-D4AA77158F6D}"/>
    <hyperlink ref="B42" r:id="rId8" xr:uid="{FB3C3F39-05C1-4C4E-B304-27F35C188090}"/>
    <hyperlink ref="B40" r:id="rId9" xr:uid="{6F940843-7268-44EA-9ADF-1BCA76948BCA}"/>
    <hyperlink ref="B41" r:id="rId10" xr:uid="{CA2A9150-E64F-4319-B6FA-593DF6FE9F50}"/>
    <hyperlink ref="B38" r:id="rId11" xr:uid="{EB75DD53-036F-4C77-891B-65E2E775319F}"/>
    <hyperlink ref="B66" r:id="rId12" xr:uid="{46D0BE2D-2E11-4FDD-97CC-B1568654A917}"/>
    <hyperlink ref="B33" r:id="rId13" xr:uid="{1B1BDC6C-24DC-4A0B-A97C-0601A68FE24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0EFF0-CEC9-4CB0-8276-A5519AD579B6}">
  <dimension ref="A1:H25"/>
  <sheetViews>
    <sheetView topLeftCell="A7" workbookViewId="0">
      <selection activeCell="C21" sqref="C21:C25"/>
    </sheetView>
  </sheetViews>
  <sheetFormatPr defaultRowHeight="12.5"/>
  <cols>
    <col min="1" max="1" width="24.1796875" customWidth="1"/>
    <col min="2" max="3" width="18.26953125" customWidth="1"/>
    <col min="4" max="4" width="18.1796875" customWidth="1"/>
    <col min="5" max="5" width="24" customWidth="1"/>
  </cols>
  <sheetData>
    <row r="1" spans="1:8" ht="25">
      <c r="A1" s="229" t="s">
        <v>1312</v>
      </c>
      <c r="B1" s="230" t="s">
        <v>120</v>
      </c>
      <c r="C1" s="230" t="s">
        <v>1207</v>
      </c>
      <c r="D1" s="230" t="s">
        <v>43</v>
      </c>
      <c r="E1" s="229" t="s">
        <v>128</v>
      </c>
    </row>
    <row r="2" spans="1:8">
      <c r="A2" s="176" t="s">
        <v>1773</v>
      </c>
      <c r="B2" s="98" t="s">
        <v>190</v>
      </c>
      <c r="C2" s="98"/>
      <c r="D2" s="100" t="s">
        <v>137</v>
      </c>
      <c r="E2" s="176" t="s">
        <v>194</v>
      </c>
      <c r="G2">
        <f ca="1">VLOOKUP(A2, 'Student list'!G2:G23, 1, FALSE)</f>
        <v>0</v>
      </c>
      <c r="H2" t="e">
        <f>VLOOKUP(A2, 'Student list'!I2:I23, 1, FALSE)</f>
        <v>#N/A</v>
      </c>
    </row>
    <row r="3" spans="1:8" ht="37.5">
      <c r="A3" s="98" t="s">
        <v>1774</v>
      </c>
      <c r="B3" s="98" t="s">
        <v>304</v>
      </c>
      <c r="C3" s="98"/>
      <c r="D3" s="100" t="s">
        <v>209</v>
      </c>
      <c r="E3" s="176" t="s">
        <v>1775</v>
      </c>
      <c r="G3">
        <f ca="1">VLOOKUP(A3, 'Student list'!G3:G24, 1, FALSE)</f>
        <v>0</v>
      </c>
      <c r="H3" t="e">
        <f>VLOOKUP(A3, 'Student list'!I3:I24, 1, FALSE)</f>
        <v>#N/A</v>
      </c>
    </row>
    <row r="4" spans="1:8">
      <c r="A4" s="98" t="s">
        <v>1776</v>
      </c>
      <c r="B4" s="98" t="s">
        <v>299</v>
      </c>
      <c r="C4" s="98"/>
      <c r="D4" s="100" t="s">
        <v>209</v>
      </c>
      <c r="E4" s="176" t="s">
        <v>1775</v>
      </c>
      <c r="G4">
        <f ca="1">VLOOKUP(A4, 'Student list'!G4:G25, 1, FALSE)</f>
        <v>0</v>
      </c>
      <c r="H4" t="e">
        <f>VLOOKUP(A4, 'Student list'!I4:I25, 1, FALSE)</f>
        <v>#N/A</v>
      </c>
    </row>
    <row r="5" spans="1:8">
      <c r="A5" s="98" t="s">
        <v>1777</v>
      </c>
      <c r="B5" s="98" t="s">
        <v>299</v>
      </c>
      <c r="C5" s="98"/>
      <c r="D5" s="100" t="s">
        <v>209</v>
      </c>
      <c r="E5" s="176" t="s">
        <v>1775</v>
      </c>
      <c r="G5">
        <f ca="1">VLOOKUP(A5, 'Student list'!G5:G26, 1, FALSE)</f>
        <v>0</v>
      </c>
      <c r="H5" t="e">
        <f>VLOOKUP(A5, 'Student list'!I5:I26, 1, FALSE)</f>
        <v>#N/A</v>
      </c>
    </row>
    <row r="6" spans="1:8">
      <c r="A6" s="98" t="s">
        <v>1778</v>
      </c>
      <c r="B6" s="98" t="s">
        <v>190</v>
      </c>
      <c r="C6" s="98"/>
      <c r="D6" s="100" t="s">
        <v>137</v>
      </c>
      <c r="E6" s="176" t="s">
        <v>194</v>
      </c>
      <c r="G6">
        <f ca="1">VLOOKUP(A6, 'Student list'!G6:G27, 1, FALSE)</f>
        <v>0</v>
      </c>
      <c r="H6" t="e">
        <f>VLOOKUP(A6, 'Student list'!I6:I27, 1, FALSE)</f>
        <v>#N/A</v>
      </c>
    </row>
    <row r="7" spans="1:8" ht="37.5">
      <c r="A7" s="98" t="s">
        <v>1779</v>
      </c>
      <c r="B7" s="98" t="s">
        <v>348</v>
      </c>
      <c r="C7" s="98"/>
      <c r="D7" s="100" t="s">
        <v>144</v>
      </c>
      <c r="E7" s="176" t="s">
        <v>1478</v>
      </c>
      <c r="G7">
        <f ca="1">VLOOKUP(A7, 'Student list'!G7:G28, 1, FALSE)</f>
        <v>0</v>
      </c>
      <c r="H7" t="e">
        <f>VLOOKUP(A7, 'Student list'!I7:I28, 1, FALSE)</f>
        <v>#N/A</v>
      </c>
    </row>
    <row r="8" spans="1:8">
      <c r="A8" s="98" t="s">
        <v>1780</v>
      </c>
      <c r="B8" s="98" t="s">
        <v>337</v>
      </c>
      <c r="C8" s="98"/>
      <c r="D8" s="100" t="s">
        <v>357</v>
      </c>
      <c r="E8" s="176" t="s">
        <v>1775</v>
      </c>
      <c r="G8">
        <f ca="1">VLOOKUP(A8, 'Student list'!G8:G29, 1, FALSE)</f>
        <v>0</v>
      </c>
      <c r="H8" t="e">
        <f>VLOOKUP(A8, 'Student list'!I8:I29, 1, FALSE)</f>
        <v>#N/A</v>
      </c>
    </row>
    <row r="9" spans="1:8">
      <c r="A9" s="98" t="s">
        <v>1781</v>
      </c>
      <c r="B9" s="98" t="s">
        <v>467</v>
      </c>
      <c r="C9" s="98"/>
      <c r="D9" s="100" t="s">
        <v>144</v>
      </c>
      <c r="E9" s="176" t="s">
        <v>1782</v>
      </c>
      <c r="G9">
        <f ca="1">VLOOKUP(A9, 'Student list'!G9:G30, 1, FALSE)</f>
        <v>0</v>
      </c>
      <c r="H9" t="e">
        <f>VLOOKUP(A9, 'Student list'!I9:I30, 1, FALSE)</f>
        <v>#N/A</v>
      </c>
    </row>
    <row r="10" spans="1:8">
      <c r="A10" s="98" t="s">
        <v>1783</v>
      </c>
      <c r="B10" s="98" t="s">
        <v>467</v>
      </c>
      <c r="C10" s="98"/>
      <c r="D10" s="100" t="s">
        <v>144</v>
      </c>
      <c r="E10" s="176" t="s">
        <v>1782</v>
      </c>
      <c r="G10">
        <f ca="1">VLOOKUP(A10, 'Student list'!G10:G31, 1, FALSE)</f>
        <v>0</v>
      </c>
      <c r="H10" t="e">
        <f>VLOOKUP(A10, 'Student list'!I10:I31, 1, FALSE)</f>
        <v>#N/A</v>
      </c>
    </row>
    <row r="11" spans="1:8">
      <c r="A11" s="98" t="s">
        <v>1784</v>
      </c>
      <c r="B11" s="98" t="s">
        <v>467</v>
      </c>
      <c r="C11" s="98"/>
      <c r="D11" s="100" t="s">
        <v>144</v>
      </c>
      <c r="E11" s="176" t="s">
        <v>1782</v>
      </c>
      <c r="G11">
        <f ca="1">VLOOKUP(A11, 'Student list'!G11:G32, 1, FALSE)</f>
        <v>0</v>
      </c>
      <c r="H11" t="e">
        <f>VLOOKUP(A11, 'Student list'!I11:I32, 1, FALSE)</f>
        <v>#N/A</v>
      </c>
    </row>
    <row r="12" spans="1:8" ht="37.5">
      <c r="A12" s="98" t="s">
        <v>1785</v>
      </c>
      <c r="B12" s="98" t="s">
        <v>535</v>
      </c>
      <c r="C12" s="98"/>
      <c r="D12" s="100" t="s">
        <v>144</v>
      </c>
      <c r="E12" s="176" t="s">
        <v>1769</v>
      </c>
      <c r="G12">
        <f ca="1">VLOOKUP(A12, 'Student list'!G12:G33, 1, FALSE)</f>
        <v>0</v>
      </c>
      <c r="H12" t="e">
        <f>VLOOKUP(A12, 'Student list'!I12:I33, 1, FALSE)</f>
        <v>#N/A</v>
      </c>
    </row>
    <row r="13" spans="1:8" ht="37.5">
      <c r="A13" s="98" t="s">
        <v>1786</v>
      </c>
      <c r="B13" s="98" t="s">
        <v>535</v>
      </c>
      <c r="C13" s="98"/>
      <c r="D13" s="100" t="s">
        <v>144</v>
      </c>
      <c r="E13" s="176" t="s">
        <v>1769</v>
      </c>
      <c r="G13">
        <f ca="1">VLOOKUP(A13, 'Student list'!G13:G34, 1, FALSE)</f>
        <v>0</v>
      </c>
      <c r="H13" t="e">
        <f>VLOOKUP(A13, 'Student list'!I13:I34, 1, FALSE)</f>
        <v>#N/A</v>
      </c>
    </row>
    <row r="14" spans="1:8" ht="37.5">
      <c r="A14" s="98" t="s">
        <v>1787</v>
      </c>
      <c r="B14" s="98" t="s">
        <v>535</v>
      </c>
      <c r="C14" s="98"/>
      <c r="D14" s="100" t="s">
        <v>144</v>
      </c>
      <c r="E14" s="176" t="s">
        <v>1769</v>
      </c>
      <c r="G14">
        <f ca="1">VLOOKUP(A14, 'Student list'!G14:G35, 1, FALSE)</f>
        <v>0</v>
      </c>
      <c r="H14" t="e">
        <f>VLOOKUP(A14, 'Student list'!I14:I35, 1, FALSE)</f>
        <v>#N/A</v>
      </c>
    </row>
    <row r="15" spans="1:8" ht="37.5">
      <c r="A15" s="98" t="s">
        <v>1788</v>
      </c>
      <c r="B15" s="98" t="s">
        <v>591</v>
      </c>
      <c r="C15" s="98"/>
      <c r="D15" s="100" t="s">
        <v>174</v>
      </c>
      <c r="E15" s="176" t="s">
        <v>1789</v>
      </c>
      <c r="G15">
        <f ca="1">VLOOKUP(A15, 'Student list'!G15:G36, 1, FALSE)</f>
        <v>0</v>
      </c>
      <c r="H15" t="e">
        <f>VLOOKUP(A15, 'Student list'!I15:I36, 1, FALSE)</f>
        <v>#N/A</v>
      </c>
    </row>
    <row r="16" spans="1:8" ht="37.5">
      <c r="A16" s="98" t="s">
        <v>1790</v>
      </c>
      <c r="B16" s="98" t="s">
        <v>604</v>
      </c>
      <c r="C16" s="98"/>
      <c r="D16" s="100" t="s">
        <v>174</v>
      </c>
      <c r="E16" s="176" t="s">
        <v>1770</v>
      </c>
      <c r="G16">
        <f ca="1">VLOOKUP(A16, 'Student list'!G16:G37, 1, FALSE)</f>
        <v>0</v>
      </c>
      <c r="H16" t="e">
        <f>VLOOKUP(A16, 'Student list'!I16:I37, 1, FALSE)</f>
        <v>#N/A</v>
      </c>
    </row>
    <row r="17" spans="1:8" ht="37.5">
      <c r="A17" s="98" t="s">
        <v>1791</v>
      </c>
      <c r="B17" s="98" t="s">
        <v>624</v>
      </c>
      <c r="C17" s="98"/>
      <c r="D17" s="100" t="s">
        <v>403</v>
      </c>
      <c r="E17" s="176" t="s">
        <v>628</v>
      </c>
      <c r="G17">
        <f ca="1">VLOOKUP(A17, 'Student list'!G17:G38, 1, FALSE)</f>
        <v>0</v>
      </c>
      <c r="H17" t="e">
        <f>VLOOKUP(A17, 'Student list'!I17:I38, 1, FALSE)</f>
        <v>#N/A</v>
      </c>
    </row>
    <row r="18" spans="1:8">
      <c r="A18" s="98" t="s">
        <v>1792</v>
      </c>
      <c r="B18" s="98" t="s">
        <v>656</v>
      </c>
      <c r="C18" s="98"/>
      <c r="D18" s="100" t="s">
        <v>144</v>
      </c>
      <c r="E18" s="176" t="s">
        <v>1771</v>
      </c>
      <c r="G18">
        <f ca="1">VLOOKUP(A18, 'Student list'!G18:G39, 1, FALSE)</f>
        <v>0</v>
      </c>
      <c r="H18" t="e">
        <f>VLOOKUP(A18, 'Student list'!I18:I39, 1, FALSE)</f>
        <v>#N/A</v>
      </c>
    </row>
    <row r="19" spans="1:8">
      <c r="A19" s="98" t="s">
        <v>1793</v>
      </c>
      <c r="B19" s="98" t="s">
        <v>656</v>
      </c>
      <c r="C19" s="98"/>
      <c r="D19" s="100" t="s">
        <v>144</v>
      </c>
      <c r="E19" s="176" t="s">
        <v>1771</v>
      </c>
      <c r="G19">
        <f ca="1">VLOOKUP(A19, 'Student list'!G19:G40, 1, FALSE)</f>
        <v>0</v>
      </c>
      <c r="H19" t="e">
        <f>VLOOKUP(A19, 'Student list'!I19:I40, 1, FALSE)</f>
        <v>#N/A</v>
      </c>
    </row>
    <row r="20" spans="1:8">
      <c r="A20" s="98" t="s">
        <v>1794</v>
      </c>
      <c r="B20" s="176" t="s">
        <v>1795</v>
      </c>
      <c r="C20" s="176"/>
      <c r="D20" s="100" t="s">
        <v>144</v>
      </c>
      <c r="E20" s="176" t="s">
        <v>1772</v>
      </c>
      <c r="G20">
        <f ca="1">VLOOKUP(A20, 'Student list'!G20:G41, 1, FALSE)</f>
        <v>0</v>
      </c>
      <c r="H20" t="e">
        <f>VLOOKUP(A20, 'Student list'!I20:I41, 1, FALSE)</f>
        <v>#N/A</v>
      </c>
    </row>
    <row r="21" spans="1:8" ht="25">
      <c r="A21" s="195" t="s">
        <v>1796</v>
      </c>
      <c r="B21" s="195" t="s">
        <v>112</v>
      </c>
      <c r="C21" s="60" t="s">
        <v>812</v>
      </c>
      <c r="D21" s="176" t="s">
        <v>209</v>
      </c>
      <c r="E21" s="176" t="s">
        <v>1167</v>
      </c>
      <c r="G21">
        <f ca="1">VLOOKUP(A21, 'Student list'!G21:G43, 1, FALSE)</f>
        <v>0</v>
      </c>
      <c r="H21" t="e">
        <f>VLOOKUP(A21, 'Student list'!I21:I43, 1, FALSE)</f>
        <v>#N/A</v>
      </c>
    </row>
    <row r="22" spans="1:8" ht="25">
      <c r="A22" s="264" t="s">
        <v>1797</v>
      </c>
      <c r="B22" s="264" t="s">
        <v>112</v>
      </c>
      <c r="C22" s="264" t="s">
        <v>814</v>
      </c>
      <c r="D22" s="198" t="s">
        <v>209</v>
      </c>
      <c r="E22" s="198" t="s">
        <v>1129</v>
      </c>
      <c r="G22">
        <f ca="1">VLOOKUP(A22, 'Student list'!G22:G44, 1, FALSE)</f>
        <v>0</v>
      </c>
      <c r="H22" t="e">
        <f>VLOOKUP(A22, 'Student list'!I22:I44, 1, FALSE)</f>
        <v>#N/A</v>
      </c>
    </row>
    <row r="23" spans="1:8" ht="25">
      <c r="A23" s="265" t="s">
        <v>1798</v>
      </c>
      <c r="B23" s="265" t="s">
        <v>328</v>
      </c>
      <c r="C23" s="265" t="s">
        <v>851</v>
      </c>
      <c r="D23" s="265" t="s">
        <v>144</v>
      </c>
      <c r="E23" s="189" t="s">
        <v>1480</v>
      </c>
      <c r="G23">
        <f ca="1">VLOOKUP(A23, 'Student list'!G23:G46, 1, FALSE)</f>
        <v>0</v>
      </c>
      <c r="H23" t="e">
        <f>VLOOKUP(A23, 'Student list'!I23:I46, 1, FALSE)</f>
        <v>#N/A</v>
      </c>
    </row>
    <row r="24" spans="1:8" ht="25">
      <c r="A24" s="265" t="s">
        <v>1799</v>
      </c>
      <c r="B24" s="189"/>
      <c r="C24" s="265" t="s">
        <v>856</v>
      </c>
      <c r="D24" s="189" t="s">
        <v>137</v>
      </c>
      <c r="E24" s="189" t="s">
        <v>858</v>
      </c>
      <c r="G24">
        <f ca="1">VLOOKUP(A24, 'Student list'!G24:G47, 1, FALSE)</f>
        <v>0</v>
      </c>
      <c r="H24" t="e">
        <f>VLOOKUP(A24, 'Student list'!I24:I47, 1, FALSE)</f>
        <v>#N/A</v>
      </c>
    </row>
    <row r="25" spans="1:8">
      <c r="A25" s="265" t="s">
        <v>1581</v>
      </c>
      <c r="B25" s="265" t="s">
        <v>1805</v>
      </c>
      <c r="C25" s="189"/>
      <c r="D25" s="266" t="s">
        <v>467</v>
      </c>
      <c r="E25" s="266" t="s">
        <v>1806</v>
      </c>
    </row>
  </sheetData>
  <hyperlinks>
    <hyperlink ref="C21" r:id="rId1" xr:uid="{F7F0F9CD-86F0-43C1-B8C8-6FF83CF1838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FB05C-09F4-4F58-AF1B-C3951125A58D}">
  <dimension ref="A1:H28"/>
  <sheetViews>
    <sheetView topLeftCell="A9" workbookViewId="0">
      <selection activeCell="C21" sqref="C21"/>
    </sheetView>
  </sheetViews>
  <sheetFormatPr defaultRowHeight="12.5"/>
  <cols>
    <col min="1" max="1" width="19.08984375" customWidth="1"/>
    <col min="2" max="2" width="13" customWidth="1"/>
    <col min="3" max="3" width="17.6328125" customWidth="1"/>
    <col min="4" max="4" width="15.453125" customWidth="1"/>
  </cols>
  <sheetData>
    <row r="1" spans="1:6">
      <c r="A1" s="444" t="s">
        <v>2347</v>
      </c>
      <c r="B1" s="444" t="s">
        <v>2348</v>
      </c>
      <c r="C1" s="444" t="s">
        <v>2349</v>
      </c>
      <c r="D1" s="448" t="s">
        <v>869</v>
      </c>
    </row>
    <row r="2" spans="1:6" ht="25">
      <c r="A2" s="442" t="s">
        <v>57</v>
      </c>
      <c r="B2" s="320" t="s">
        <v>1408</v>
      </c>
      <c r="C2" s="320" t="s">
        <v>2350</v>
      </c>
      <c r="D2" s="168" t="s">
        <v>58</v>
      </c>
      <c r="E2" t="s">
        <v>2352</v>
      </c>
      <c r="F2">
        <v>20</v>
      </c>
    </row>
    <row r="3" spans="1:6" ht="25">
      <c r="A3" s="311" t="s">
        <v>59</v>
      </c>
      <c r="B3" s="320" t="s">
        <v>1408</v>
      </c>
      <c r="C3" s="320" t="s">
        <v>2350</v>
      </c>
      <c r="D3" s="168" t="s">
        <v>60</v>
      </c>
      <c r="E3" t="s">
        <v>1431</v>
      </c>
      <c r="F3">
        <v>7</v>
      </c>
    </row>
    <row r="4" spans="1:6" ht="25">
      <c r="A4" s="442" t="s">
        <v>64</v>
      </c>
      <c r="B4" s="320" t="s">
        <v>1408</v>
      </c>
      <c r="C4" s="320" t="s">
        <v>2350</v>
      </c>
      <c r="D4" s="168" t="s">
        <v>65</v>
      </c>
    </row>
    <row r="5" spans="1:6">
      <c r="A5" s="442" t="s">
        <v>76</v>
      </c>
      <c r="B5" s="320" t="s">
        <v>2351</v>
      </c>
      <c r="C5" s="320" t="s">
        <v>2350</v>
      </c>
      <c r="D5" s="168" t="s">
        <v>77</v>
      </c>
    </row>
    <row r="6" spans="1:6" ht="25">
      <c r="A6" s="311" t="s">
        <v>1498</v>
      </c>
      <c r="B6" s="320" t="s">
        <v>2351</v>
      </c>
      <c r="C6" s="320" t="s">
        <v>2350</v>
      </c>
      <c r="D6" s="99" t="s">
        <v>1499</v>
      </c>
    </row>
    <row r="7" spans="1:6">
      <c r="A7" s="311" t="s">
        <v>1500</v>
      </c>
      <c r="B7" s="320" t="s">
        <v>1408</v>
      </c>
      <c r="C7" s="320" t="s">
        <v>2350</v>
      </c>
      <c r="D7" s="99" t="s">
        <v>1501</v>
      </c>
    </row>
    <row r="8" spans="1:6" ht="25">
      <c r="A8" s="442" t="s">
        <v>82</v>
      </c>
      <c r="B8" s="320" t="s">
        <v>2351</v>
      </c>
      <c r="C8" s="320" t="s">
        <v>2350</v>
      </c>
      <c r="D8" s="168" t="s">
        <v>83</v>
      </c>
    </row>
    <row r="9" spans="1:6" ht="25">
      <c r="A9" s="443" t="s">
        <v>1892</v>
      </c>
      <c r="B9" s="320" t="s">
        <v>1408</v>
      </c>
      <c r="C9" s="320" t="s">
        <v>2350</v>
      </c>
      <c r="D9" s="188" t="s">
        <v>1893</v>
      </c>
    </row>
    <row r="10" spans="1:6" ht="25">
      <c r="A10" s="442" t="s">
        <v>87</v>
      </c>
      <c r="B10" s="320" t="s">
        <v>1408</v>
      </c>
      <c r="C10" s="320" t="s">
        <v>2350</v>
      </c>
      <c r="D10" s="168" t="s">
        <v>88</v>
      </c>
    </row>
    <row r="11" spans="1:6" ht="25">
      <c r="A11" s="442" t="s">
        <v>89</v>
      </c>
      <c r="B11" s="320" t="s">
        <v>1408</v>
      </c>
      <c r="C11" s="320" t="s">
        <v>2350</v>
      </c>
      <c r="D11" s="168" t="s">
        <v>90</v>
      </c>
    </row>
    <row r="12" spans="1:6" ht="25">
      <c r="A12" s="443" t="s">
        <v>1568</v>
      </c>
      <c r="B12" s="320" t="s">
        <v>2351</v>
      </c>
      <c r="C12" s="320" t="s">
        <v>2350</v>
      </c>
      <c r="D12" s="188" t="s">
        <v>1569</v>
      </c>
    </row>
    <row r="13" spans="1:6" ht="25">
      <c r="A13" s="443" t="s">
        <v>1570</v>
      </c>
      <c r="B13" s="320" t="s">
        <v>1408</v>
      </c>
      <c r="C13" s="320" t="s">
        <v>2350</v>
      </c>
      <c r="D13" s="188" t="s">
        <v>828</v>
      </c>
    </row>
    <row r="14" spans="1:6" ht="25">
      <c r="A14" s="443" t="s">
        <v>1753</v>
      </c>
      <c r="B14" s="320" t="s">
        <v>2351</v>
      </c>
      <c r="C14" s="320" t="s">
        <v>2350</v>
      </c>
      <c r="D14" s="188" t="s">
        <v>1747</v>
      </c>
    </row>
    <row r="15" spans="1:6" ht="25">
      <c r="A15" s="443" t="s">
        <v>1754</v>
      </c>
      <c r="B15" s="320" t="s">
        <v>2351</v>
      </c>
      <c r="C15" s="320" t="s">
        <v>2350</v>
      </c>
      <c r="D15" s="188" t="s">
        <v>1737</v>
      </c>
    </row>
    <row r="16" spans="1:6" ht="37.5">
      <c r="A16" s="443" t="s">
        <v>97</v>
      </c>
      <c r="B16" s="320" t="s">
        <v>1408</v>
      </c>
      <c r="C16" s="320" t="s">
        <v>2350</v>
      </c>
      <c r="D16" s="168" t="s">
        <v>98</v>
      </c>
    </row>
    <row r="17" spans="1:8" ht="25">
      <c r="A17" s="442" t="s">
        <v>99</v>
      </c>
      <c r="B17" s="320" t="s">
        <v>1408</v>
      </c>
      <c r="C17" s="320" t="s">
        <v>2350</v>
      </c>
      <c r="D17" s="168" t="s">
        <v>100</v>
      </c>
    </row>
    <row r="18" spans="1:8" ht="25">
      <c r="A18" s="443" t="s">
        <v>2311</v>
      </c>
      <c r="B18" s="320" t="s">
        <v>1408</v>
      </c>
      <c r="C18" s="320" t="s">
        <v>2350</v>
      </c>
      <c r="D18" s="188" t="s">
        <v>2287</v>
      </c>
    </row>
    <row r="19" spans="1:8" ht="25">
      <c r="A19" s="443" t="s">
        <v>2312</v>
      </c>
      <c r="B19" s="320" t="s">
        <v>1408</v>
      </c>
      <c r="C19" s="320" t="s">
        <v>2350</v>
      </c>
      <c r="D19" s="188" t="s">
        <v>2313</v>
      </c>
      <c r="H19" t="s">
        <v>865</v>
      </c>
    </row>
    <row r="20" spans="1:8">
      <c r="A20" s="443" t="s">
        <v>1573</v>
      </c>
      <c r="B20" s="320" t="s">
        <v>1408</v>
      </c>
      <c r="C20" s="320" t="s">
        <v>2350</v>
      </c>
      <c r="D20" s="188" t="s">
        <v>1574</v>
      </c>
    </row>
    <row r="21" spans="1:8" ht="25">
      <c r="A21" s="442" t="s">
        <v>108</v>
      </c>
      <c r="B21" s="320" t="s">
        <v>1408</v>
      </c>
      <c r="C21" s="320" t="s">
        <v>2350</v>
      </c>
      <c r="D21" s="168" t="s">
        <v>109</v>
      </c>
    </row>
    <row r="22" spans="1:8" ht="25">
      <c r="A22" s="443" t="s">
        <v>1807</v>
      </c>
      <c r="B22" s="320" t="s">
        <v>1408</v>
      </c>
      <c r="C22" s="320" t="s">
        <v>2350</v>
      </c>
      <c r="D22" s="99" t="s">
        <v>680</v>
      </c>
    </row>
    <row r="23" spans="1:8" ht="25">
      <c r="A23" s="443" t="s">
        <v>2303</v>
      </c>
      <c r="B23" s="320" t="s">
        <v>1408</v>
      </c>
      <c r="C23" s="320" t="s">
        <v>2350</v>
      </c>
      <c r="D23" s="188" t="s">
        <v>2304</v>
      </c>
    </row>
    <row r="24" spans="1:8" ht="25">
      <c r="A24" s="443" t="s">
        <v>1796</v>
      </c>
      <c r="B24" s="320" t="s">
        <v>1408</v>
      </c>
      <c r="C24" s="320" t="s">
        <v>2350</v>
      </c>
      <c r="D24" s="188" t="s">
        <v>812</v>
      </c>
    </row>
    <row r="25" spans="1:8" ht="25">
      <c r="A25" s="443" t="s">
        <v>115</v>
      </c>
      <c r="B25" s="320" t="s">
        <v>1408</v>
      </c>
      <c r="C25" s="320" t="s">
        <v>2350</v>
      </c>
      <c r="D25" s="188" t="s">
        <v>2300</v>
      </c>
    </row>
    <row r="26" spans="1:8" ht="25">
      <c r="A26" s="443" t="s">
        <v>2305</v>
      </c>
      <c r="B26" s="320" t="s">
        <v>1408</v>
      </c>
      <c r="C26" s="320" t="s">
        <v>2350</v>
      </c>
      <c r="D26" s="188" t="s">
        <v>2306</v>
      </c>
    </row>
    <row r="27" spans="1:8" ht="25">
      <c r="A27" s="443" t="s">
        <v>2316</v>
      </c>
      <c r="B27" s="320" t="s">
        <v>1408</v>
      </c>
      <c r="C27" s="320" t="s">
        <v>2350</v>
      </c>
      <c r="D27" s="188" t="s">
        <v>814</v>
      </c>
    </row>
    <row r="28" spans="1:8" ht="25">
      <c r="A28" s="443" t="s">
        <v>2301</v>
      </c>
      <c r="B28" s="320" t="s">
        <v>2351</v>
      </c>
      <c r="C28" s="320" t="s">
        <v>2350</v>
      </c>
      <c r="D28" s="188" t="s">
        <v>2302</v>
      </c>
    </row>
  </sheetData>
  <autoFilter ref="A1:C28" xr:uid="{F30FB05C-09F4-4F58-AF1B-C3951125A58D}"/>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49AA3-7B00-4E82-B14A-87B47464C202}">
  <dimension ref="A1:L22"/>
  <sheetViews>
    <sheetView workbookViewId="0">
      <pane ySplit="1" topLeftCell="A2" activePane="bottomLeft" state="frozen"/>
      <selection pane="bottomLeft" activeCell="H13" sqref="H13"/>
    </sheetView>
  </sheetViews>
  <sheetFormatPr defaultRowHeight="12.75" customHeight="1"/>
  <cols>
    <col min="2" max="2" width="27.7265625" customWidth="1"/>
    <col min="3" max="3" width="45.81640625" customWidth="1"/>
    <col min="4" max="5" width="15.26953125" customWidth="1"/>
    <col min="6" max="6" width="23" customWidth="1"/>
    <col min="7" max="7" width="18.7265625" customWidth="1"/>
    <col min="8" max="8" width="12.7265625" customWidth="1"/>
  </cols>
  <sheetData>
    <row r="1" spans="1:12" ht="37.5">
      <c r="B1" s="99" t="s">
        <v>43</v>
      </c>
      <c r="C1" s="99" t="s">
        <v>44</v>
      </c>
      <c r="D1" s="99" t="s">
        <v>45</v>
      </c>
      <c r="E1" s="99" t="s">
        <v>2655</v>
      </c>
      <c r="F1" s="99" t="s">
        <v>46</v>
      </c>
      <c r="G1" s="99" t="s">
        <v>47</v>
      </c>
      <c r="H1" s="99" t="s">
        <v>48</v>
      </c>
      <c r="I1" s="99" t="s">
        <v>49</v>
      </c>
      <c r="J1" s="99" t="s">
        <v>50</v>
      </c>
      <c r="K1" s="99" t="s">
        <v>51</v>
      </c>
      <c r="L1" s="99">
        <v>20</v>
      </c>
    </row>
    <row r="2" spans="1:12" ht="32.25" customHeight="1">
      <c r="B2" s="260" t="s">
        <v>52</v>
      </c>
      <c r="C2" s="99" t="s">
        <v>53</v>
      </c>
      <c r="D2" s="319" t="s">
        <v>54</v>
      </c>
      <c r="E2" s="319"/>
      <c r="F2" s="168" t="s">
        <v>55</v>
      </c>
      <c r="G2" s="168" t="s">
        <v>56</v>
      </c>
      <c r="H2" s="261" t="s">
        <v>57</v>
      </c>
      <c r="I2" s="168" t="s">
        <v>58</v>
      </c>
      <c r="J2" s="260" t="s">
        <v>59</v>
      </c>
      <c r="K2" s="168" t="s">
        <v>60</v>
      </c>
      <c r="L2" s="99"/>
    </row>
    <row r="3" spans="1:12" ht="44.25" customHeight="1">
      <c r="A3" s="59"/>
      <c r="B3" s="260" t="s">
        <v>52</v>
      </c>
      <c r="C3" s="99" t="s">
        <v>61</v>
      </c>
      <c r="D3" s="319" t="s">
        <v>54</v>
      </c>
      <c r="E3" s="319"/>
      <c r="F3" s="168" t="s">
        <v>62</v>
      </c>
      <c r="G3" s="168" t="s">
        <v>63</v>
      </c>
      <c r="H3" s="261" t="s">
        <v>64</v>
      </c>
      <c r="I3" s="168" t="s">
        <v>65</v>
      </c>
      <c r="J3" s="99"/>
      <c r="K3" s="99"/>
      <c r="L3" s="99"/>
    </row>
    <row r="4" spans="1:12" ht="31.5" customHeight="1">
      <c r="A4" s="59"/>
      <c r="B4" s="260" t="s">
        <v>52</v>
      </c>
      <c r="C4" s="99" t="s">
        <v>66</v>
      </c>
      <c r="D4" s="319" t="s">
        <v>54</v>
      </c>
      <c r="E4" s="319"/>
      <c r="F4" s="168" t="s">
        <v>67</v>
      </c>
      <c r="G4" s="168" t="s">
        <v>68</v>
      </c>
      <c r="H4" s="262" t="s">
        <v>69</v>
      </c>
      <c r="I4" s="168" t="s">
        <v>70</v>
      </c>
      <c r="J4" s="262" t="s">
        <v>71</v>
      </c>
      <c r="K4" s="168" t="s">
        <v>72</v>
      </c>
      <c r="L4" s="99"/>
    </row>
    <row r="5" spans="1:12" ht="32.25" customHeight="1">
      <c r="B5" s="260" t="s">
        <v>52</v>
      </c>
      <c r="C5" s="99" t="s">
        <v>73</v>
      </c>
      <c r="D5" s="319" t="s">
        <v>54</v>
      </c>
      <c r="E5" s="319"/>
      <c r="F5" s="168" t="s">
        <v>74</v>
      </c>
      <c r="G5" s="168" t="s">
        <v>75</v>
      </c>
      <c r="H5" s="261" t="s">
        <v>76</v>
      </c>
      <c r="I5" s="168" t="s">
        <v>77</v>
      </c>
      <c r="J5" s="99"/>
      <c r="K5" s="99"/>
      <c r="L5" s="99"/>
    </row>
    <row r="6" spans="1:12" ht="46.5" customHeight="1">
      <c r="B6" s="260" t="s">
        <v>52</v>
      </c>
      <c r="C6" s="99" t="s">
        <v>78</v>
      </c>
      <c r="D6" s="319" t="s">
        <v>54</v>
      </c>
      <c r="E6" s="319" t="s">
        <v>991</v>
      </c>
      <c r="F6" s="167" t="s">
        <v>2600</v>
      </c>
      <c r="G6" s="99" t="s">
        <v>1497</v>
      </c>
      <c r="H6" s="260" t="s">
        <v>1498</v>
      </c>
      <c r="I6" s="99" t="s">
        <v>1499</v>
      </c>
      <c r="J6" s="260" t="s">
        <v>1500</v>
      </c>
      <c r="K6" s="99" t="s">
        <v>1501</v>
      </c>
      <c r="L6" s="99"/>
    </row>
    <row r="7" spans="1:12" ht="32.25" customHeight="1">
      <c r="B7" s="260" t="s">
        <v>52</v>
      </c>
      <c r="C7" s="99" t="s">
        <v>79</v>
      </c>
      <c r="D7" s="319" t="s">
        <v>54</v>
      </c>
      <c r="E7" s="319"/>
      <c r="F7" s="168" t="s">
        <v>80</v>
      </c>
      <c r="G7" s="168" t="s">
        <v>81</v>
      </c>
      <c r="H7" s="261" t="s">
        <v>82</v>
      </c>
      <c r="I7" s="168" t="s">
        <v>83</v>
      </c>
      <c r="J7" s="188" t="s">
        <v>1892</v>
      </c>
      <c r="K7" s="188" t="s">
        <v>1893</v>
      </c>
      <c r="L7" s="99"/>
    </row>
    <row r="8" spans="1:12" ht="48" customHeight="1">
      <c r="B8" s="260" t="s">
        <v>93</v>
      </c>
      <c r="C8" s="99" t="s">
        <v>84</v>
      </c>
      <c r="D8" s="319" t="s">
        <v>54</v>
      </c>
      <c r="E8" s="319" t="s">
        <v>991</v>
      </c>
      <c r="F8" s="168" t="s">
        <v>85</v>
      </c>
      <c r="G8" s="168" t="s">
        <v>86</v>
      </c>
      <c r="H8" s="261" t="s">
        <v>87</v>
      </c>
      <c r="I8" s="168" t="s">
        <v>88</v>
      </c>
      <c r="J8" s="261" t="s">
        <v>89</v>
      </c>
      <c r="K8" s="168" t="s">
        <v>90</v>
      </c>
      <c r="L8" s="99"/>
    </row>
    <row r="9" spans="1:12" ht="43.5" customHeight="1">
      <c r="B9" s="260" t="s">
        <v>93</v>
      </c>
      <c r="C9" s="99" t="s">
        <v>91</v>
      </c>
      <c r="D9" s="319" t="s">
        <v>54</v>
      </c>
      <c r="E9" s="319" t="s">
        <v>991</v>
      </c>
      <c r="F9" s="188" t="s">
        <v>1567</v>
      </c>
      <c r="G9" s="188" t="s">
        <v>1571</v>
      </c>
      <c r="H9" s="263" t="s">
        <v>1568</v>
      </c>
      <c r="I9" s="188" t="s">
        <v>1569</v>
      </c>
      <c r="J9" s="263" t="s">
        <v>1570</v>
      </c>
      <c r="K9" s="188" t="s">
        <v>828</v>
      </c>
      <c r="L9" s="99"/>
    </row>
    <row r="10" spans="1:12" ht="34.5" customHeight="1">
      <c r="B10" s="260" t="s">
        <v>93</v>
      </c>
      <c r="C10" s="99" t="s">
        <v>92</v>
      </c>
      <c r="D10" s="319" t="s">
        <v>54</v>
      </c>
      <c r="E10" s="319" t="s">
        <v>991</v>
      </c>
      <c r="F10" s="188" t="s">
        <v>1751</v>
      </c>
      <c r="G10" s="188" t="s">
        <v>1752</v>
      </c>
      <c r="H10" s="263" t="s">
        <v>1753</v>
      </c>
      <c r="I10" s="188" t="s">
        <v>1747</v>
      </c>
      <c r="J10" s="263" t="s">
        <v>1754</v>
      </c>
      <c r="K10" s="188" t="s">
        <v>1737</v>
      </c>
      <c r="L10" s="99"/>
    </row>
    <row r="11" spans="1:12" ht="33" customHeight="1">
      <c r="B11" s="260" t="s">
        <v>93</v>
      </c>
      <c r="C11" s="99" t="s">
        <v>94</v>
      </c>
      <c r="D11" s="319" t="s">
        <v>54</v>
      </c>
      <c r="E11" s="319" t="s">
        <v>991</v>
      </c>
      <c r="F11" s="168" t="s">
        <v>95</v>
      </c>
      <c r="G11" s="188" t="s">
        <v>96</v>
      </c>
      <c r="H11" s="263" t="s">
        <v>97</v>
      </c>
      <c r="I11" s="168" t="s">
        <v>98</v>
      </c>
      <c r="J11" s="261" t="s">
        <v>99</v>
      </c>
      <c r="K11" s="168" t="s">
        <v>100</v>
      </c>
      <c r="L11" s="99"/>
    </row>
    <row r="12" spans="1:12" ht="31.5" customHeight="1">
      <c r="B12" s="99" t="s">
        <v>93</v>
      </c>
      <c r="C12" s="99" t="s">
        <v>101</v>
      </c>
      <c r="D12" s="99"/>
      <c r="E12" s="99"/>
      <c r="F12" s="99"/>
      <c r="G12" s="188"/>
      <c r="H12" s="99"/>
      <c r="I12" s="99"/>
      <c r="J12" s="99"/>
      <c r="K12" s="99"/>
      <c r="L12" s="99"/>
    </row>
    <row r="13" spans="1:12" ht="36.75" customHeight="1">
      <c r="B13" s="99" t="s">
        <v>104</v>
      </c>
      <c r="C13" s="99" t="s">
        <v>102</v>
      </c>
      <c r="D13" s="319" t="s">
        <v>54</v>
      </c>
      <c r="E13" s="319"/>
      <c r="F13" s="188" t="s">
        <v>2310</v>
      </c>
      <c r="G13" s="188" t="s">
        <v>2314</v>
      </c>
      <c r="H13" s="188" t="s">
        <v>2311</v>
      </c>
      <c r="I13" s="188" t="s">
        <v>2287</v>
      </c>
      <c r="J13" s="188" t="s">
        <v>2312</v>
      </c>
      <c r="K13" s="458" t="s">
        <v>2313</v>
      </c>
      <c r="L13" s="99"/>
    </row>
    <row r="14" spans="1:12" ht="33" customHeight="1">
      <c r="B14" s="260" t="s">
        <v>104</v>
      </c>
      <c r="C14" s="99" t="s">
        <v>103</v>
      </c>
      <c r="D14" s="319" t="s">
        <v>54</v>
      </c>
      <c r="E14" s="319" t="s">
        <v>991</v>
      </c>
      <c r="F14" s="188" t="s">
        <v>1572</v>
      </c>
      <c r="G14" s="188" t="s">
        <v>1090</v>
      </c>
      <c r="H14" s="263" t="s">
        <v>1573</v>
      </c>
      <c r="I14" s="188" t="s">
        <v>1574</v>
      </c>
      <c r="J14" s="99"/>
      <c r="K14" s="99"/>
      <c r="L14" s="99"/>
    </row>
    <row r="15" spans="1:12" ht="25.5" customHeight="1">
      <c r="B15" s="501" t="s">
        <v>104</v>
      </c>
      <c r="C15" s="99" t="s">
        <v>105</v>
      </c>
      <c r="D15" s="502" t="s">
        <v>54</v>
      </c>
      <c r="E15" s="319" t="s">
        <v>991</v>
      </c>
      <c r="F15" s="168" t="s">
        <v>106</v>
      </c>
      <c r="G15" s="168" t="s">
        <v>107</v>
      </c>
      <c r="H15" s="261" t="s">
        <v>108</v>
      </c>
      <c r="I15" s="168" t="s">
        <v>109</v>
      </c>
      <c r="J15" s="99"/>
      <c r="K15" s="99"/>
      <c r="L15" s="99"/>
    </row>
    <row r="16" spans="1:12" ht="25.5" customHeight="1">
      <c r="B16" s="501"/>
      <c r="C16" s="99" t="s">
        <v>105</v>
      </c>
      <c r="D16" s="502"/>
      <c r="E16" s="319"/>
      <c r="F16" s="390" t="s">
        <v>1809</v>
      </c>
      <c r="G16" s="168" t="s">
        <v>1808</v>
      </c>
      <c r="H16" s="263" t="s">
        <v>1807</v>
      </c>
      <c r="I16" s="390" t="s">
        <v>680</v>
      </c>
      <c r="J16" s="99"/>
      <c r="K16" s="99"/>
      <c r="L16" s="99"/>
    </row>
    <row r="17" spans="2:12" ht="57.75" customHeight="1">
      <c r="B17" s="99" t="s">
        <v>112</v>
      </c>
      <c r="C17" s="99" t="s">
        <v>110</v>
      </c>
      <c r="D17" s="319" t="s">
        <v>54</v>
      </c>
      <c r="E17" s="319" t="s">
        <v>991</v>
      </c>
      <c r="F17" s="188" t="s">
        <v>110</v>
      </c>
      <c r="G17" s="188" t="s">
        <v>2307</v>
      </c>
      <c r="H17" s="188" t="s">
        <v>2303</v>
      </c>
      <c r="I17" s="188" t="s">
        <v>2304</v>
      </c>
      <c r="J17" s="188" t="s">
        <v>2305</v>
      </c>
      <c r="K17" s="188" t="s">
        <v>2306</v>
      </c>
      <c r="L17" s="99"/>
    </row>
    <row r="18" spans="2:12" ht="85.5" customHeight="1">
      <c r="B18" s="99" t="s">
        <v>112</v>
      </c>
      <c r="C18" s="99" t="s">
        <v>111</v>
      </c>
      <c r="D18" s="319" t="s">
        <v>54</v>
      </c>
      <c r="E18" s="319" t="s">
        <v>991</v>
      </c>
      <c r="F18" s="188" t="s">
        <v>2315</v>
      </c>
      <c r="G18" s="188" t="s">
        <v>2317</v>
      </c>
      <c r="H18" s="188" t="s">
        <v>1796</v>
      </c>
      <c r="I18" s="188" t="s">
        <v>812</v>
      </c>
      <c r="J18" s="188" t="s">
        <v>2316</v>
      </c>
      <c r="K18" s="188" t="s">
        <v>814</v>
      </c>
      <c r="L18" s="99"/>
    </row>
    <row r="19" spans="2:12" ht="52.5" customHeight="1">
      <c r="B19" s="99" t="s">
        <v>112</v>
      </c>
      <c r="C19" s="188" t="s">
        <v>113</v>
      </c>
      <c r="D19" s="319" t="s">
        <v>54</v>
      </c>
      <c r="E19" s="319" t="s">
        <v>991</v>
      </c>
      <c r="F19" s="188" t="s">
        <v>2298</v>
      </c>
      <c r="G19" s="188" t="s">
        <v>2299</v>
      </c>
      <c r="H19" s="188" t="s">
        <v>115</v>
      </c>
      <c r="I19" s="188" t="s">
        <v>2300</v>
      </c>
      <c r="J19" s="188" t="s">
        <v>2301</v>
      </c>
      <c r="K19" s="188" t="s">
        <v>2302</v>
      </c>
      <c r="L19" s="99"/>
    </row>
    <row r="20" spans="2:12" ht="12.75" customHeight="1">
      <c r="G20" s="187"/>
    </row>
    <row r="21" spans="2:12" ht="12.75" customHeight="1">
      <c r="G21" s="187"/>
    </row>
    <row r="22" spans="2:12" ht="12.75" customHeight="1">
      <c r="G22" s="187"/>
    </row>
  </sheetData>
  <autoFilter ref="B1:K19" xr:uid="{BC149AA3-7B00-4E82-B14A-87B47464C202}"/>
  <mergeCells count="2">
    <mergeCell ref="B15:B16"/>
    <mergeCell ref="D15:D16"/>
  </mergeCells>
  <hyperlinks>
    <hyperlink ref="K13" r:id="rId1" xr:uid="{E235D736-4B8A-44DE-9182-B5AD332B38C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F306553-4FAA-464E-BFE1-23F8D3957B3C}">
          <x14:formula1>
            <xm:f>Sheet1!$A$1:$A$4</xm:f>
          </x14:formula1>
          <xm:sqref>B2:B15 B17:B19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4FE4-E04A-49B6-B77A-345996781796}">
  <dimension ref="A1:R29"/>
  <sheetViews>
    <sheetView workbookViewId="0">
      <pane ySplit="1" topLeftCell="A2" activePane="bottomLeft" state="frozen"/>
      <selection pane="bottomLeft" activeCell="J24" sqref="J24"/>
    </sheetView>
  </sheetViews>
  <sheetFormatPr defaultRowHeight="31.5" customHeight="1"/>
  <cols>
    <col min="1" max="1" width="8.7265625" style="167"/>
    <col min="2" max="2" width="28.81640625" style="167" customWidth="1"/>
    <col min="3" max="3" width="34.81640625" style="167" customWidth="1"/>
    <col min="4" max="4" width="18.453125" style="167" customWidth="1"/>
    <col min="5" max="5" width="18.54296875" style="167" customWidth="1"/>
    <col min="6" max="6" width="8.7265625" style="167"/>
    <col min="7" max="7" width="16.453125" style="167" customWidth="1"/>
    <col min="8" max="8" width="18.54296875" style="167" customWidth="1"/>
    <col min="9" max="9" width="18" style="167" customWidth="1"/>
    <col min="10" max="10" width="16.81640625" style="167" customWidth="1"/>
    <col min="11" max="11" width="8.7265625" style="167"/>
    <col min="12" max="12" width="17.26953125" style="167" customWidth="1"/>
    <col min="13" max="13" width="17.453125" style="167" customWidth="1"/>
    <col min="14" max="14" width="27.7265625" style="167" customWidth="1"/>
    <col min="15" max="15" width="19.453125" style="167" customWidth="1"/>
    <col min="16" max="16" width="17.1796875" style="167" customWidth="1"/>
    <col min="17" max="17" width="45.1796875" style="167" customWidth="1"/>
    <col min="18" max="19" width="12.08984375" style="167" bestFit="1" customWidth="1"/>
    <col min="20" max="16384" width="8.7265625" style="167"/>
  </cols>
  <sheetData>
    <row r="1" spans="1:18" ht="31.5" customHeight="1">
      <c r="A1" s="99" t="s">
        <v>1394</v>
      </c>
      <c r="B1" s="99" t="s">
        <v>1393</v>
      </c>
      <c r="C1" s="57" t="s">
        <v>1395</v>
      </c>
      <c r="D1" s="57" t="s">
        <v>1396</v>
      </c>
      <c r="E1" s="57" t="s">
        <v>1397</v>
      </c>
      <c r="F1" s="57" t="s">
        <v>1398</v>
      </c>
      <c r="G1" s="57" t="s">
        <v>1399</v>
      </c>
      <c r="H1" s="57" t="s">
        <v>1400</v>
      </c>
      <c r="I1" s="57" t="s">
        <v>1401</v>
      </c>
      <c r="J1" s="57" t="s">
        <v>1402</v>
      </c>
      <c r="K1" s="57" t="s">
        <v>1398</v>
      </c>
      <c r="L1" s="57" t="s">
        <v>1399</v>
      </c>
      <c r="M1" s="57" t="s">
        <v>1400</v>
      </c>
      <c r="N1" s="57" t="s">
        <v>1403</v>
      </c>
      <c r="O1" s="57" t="s">
        <v>1404</v>
      </c>
      <c r="P1" s="57" t="s">
        <v>1405</v>
      </c>
      <c r="Q1" s="57" t="s">
        <v>1406</v>
      </c>
    </row>
    <row r="2" spans="1:18" ht="31.5" customHeight="1">
      <c r="A2" s="99">
        <v>1</v>
      </c>
      <c r="B2" s="168" t="s">
        <v>52</v>
      </c>
      <c r="C2" s="57" t="s">
        <v>1407</v>
      </c>
      <c r="D2" s="231" t="s">
        <v>563</v>
      </c>
      <c r="E2" s="57" t="s">
        <v>564</v>
      </c>
      <c r="F2" s="57" t="s">
        <v>1408</v>
      </c>
      <c r="G2" s="57" t="s">
        <v>567</v>
      </c>
      <c r="H2" s="57" t="s">
        <v>1409</v>
      </c>
      <c r="I2" s="231" t="s">
        <v>404</v>
      </c>
      <c r="J2" s="57" t="s">
        <v>405</v>
      </c>
      <c r="K2" s="57" t="s">
        <v>1408</v>
      </c>
      <c r="L2" s="57" t="s">
        <v>70</v>
      </c>
      <c r="M2" s="57" t="s">
        <v>407</v>
      </c>
      <c r="N2" s="175" t="s">
        <v>1410</v>
      </c>
      <c r="O2" s="57" t="s">
        <v>1411</v>
      </c>
      <c r="P2" s="57">
        <v>2</v>
      </c>
      <c r="Q2" s="57" t="s">
        <v>1412</v>
      </c>
      <c r="R2" s="169"/>
    </row>
    <row r="3" spans="1:18" ht="31.5" customHeight="1">
      <c r="A3" s="99">
        <v>2</v>
      </c>
      <c r="B3" s="178" t="s">
        <v>52</v>
      </c>
      <c r="C3" s="194" t="s">
        <v>1637</v>
      </c>
      <c r="D3" s="101" t="s">
        <v>1810</v>
      </c>
      <c r="E3" s="101" t="s">
        <v>1413</v>
      </c>
      <c r="F3" s="101" t="s">
        <v>1408</v>
      </c>
      <c r="G3" s="101" t="s">
        <v>58</v>
      </c>
      <c r="H3" s="101" t="s">
        <v>1414</v>
      </c>
      <c r="I3" s="101" t="s">
        <v>1811</v>
      </c>
      <c r="J3" s="101" t="s">
        <v>689</v>
      </c>
      <c r="K3" s="57" t="s">
        <v>1408</v>
      </c>
      <c r="L3" s="57" t="s">
        <v>60</v>
      </c>
      <c r="M3" s="57" t="s">
        <v>1415</v>
      </c>
      <c r="N3" s="175" t="s">
        <v>1416</v>
      </c>
      <c r="O3" s="57" t="s">
        <v>1417</v>
      </c>
      <c r="P3" s="57" t="s">
        <v>1418</v>
      </c>
      <c r="Q3" s="57" t="s">
        <v>1419</v>
      </c>
      <c r="R3" s="76" t="s">
        <v>1502</v>
      </c>
    </row>
    <row r="4" spans="1:18" ht="31.5" customHeight="1">
      <c r="A4" s="99">
        <v>3</v>
      </c>
      <c r="B4" s="168" t="s">
        <v>52</v>
      </c>
      <c r="C4" s="57" t="s">
        <v>1420</v>
      </c>
      <c r="D4" s="187" t="s">
        <v>1884</v>
      </c>
      <c r="E4" s="187" t="s">
        <v>1885</v>
      </c>
      <c r="F4" s="57" t="s">
        <v>1408</v>
      </c>
      <c r="G4" s="183" t="s">
        <v>1886</v>
      </c>
      <c r="H4" s="186" t="s">
        <v>1887</v>
      </c>
      <c r="I4" s="183" t="s">
        <v>1888</v>
      </c>
      <c r="J4" s="184" t="s">
        <v>1889</v>
      </c>
      <c r="K4" s="184" t="s">
        <v>1408</v>
      </c>
      <c r="L4" s="184" t="s">
        <v>1890</v>
      </c>
      <c r="M4" s="186" t="s">
        <v>1891</v>
      </c>
      <c r="N4" s="175" t="s">
        <v>1421</v>
      </c>
      <c r="O4" s="57" t="s">
        <v>1422</v>
      </c>
      <c r="P4" s="57" t="s">
        <v>1423</v>
      </c>
      <c r="Q4" s="57" t="s">
        <v>1424</v>
      </c>
      <c r="R4" s="169"/>
    </row>
    <row r="5" spans="1:18" ht="31.5" customHeight="1">
      <c r="A5" s="99">
        <v>4</v>
      </c>
      <c r="B5" s="168" t="s">
        <v>52</v>
      </c>
      <c r="C5" s="192" t="s">
        <v>1635</v>
      </c>
      <c r="D5" s="298" t="s">
        <v>1425</v>
      </c>
      <c r="E5" s="57" t="s">
        <v>1426</v>
      </c>
      <c r="F5" s="57" t="s">
        <v>1408</v>
      </c>
      <c r="G5" s="57" t="s">
        <v>1427</v>
      </c>
      <c r="H5" s="57" t="s">
        <v>1428</v>
      </c>
      <c r="I5" s="298" t="s">
        <v>1429</v>
      </c>
      <c r="J5" s="57" t="s">
        <v>1430</v>
      </c>
      <c r="K5" s="57" t="s">
        <v>1431</v>
      </c>
      <c r="L5" s="57" t="s">
        <v>1432</v>
      </c>
      <c r="M5" s="57" t="s">
        <v>1433</v>
      </c>
      <c r="N5" s="175" t="s">
        <v>1434</v>
      </c>
      <c r="O5" s="57" t="s">
        <v>1435</v>
      </c>
      <c r="P5" s="57" t="s">
        <v>1436</v>
      </c>
      <c r="Q5" s="57" t="s">
        <v>1437</v>
      </c>
      <c r="R5" s="169"/>
    </row>
    <row r="6" spans="1:18" ht="31.5" customHeight="1">
      <c r="A6" s="99">
        <v>5</v>
      </c>
      <c r="B6" s="178" t="s">
        <v>52</v>
      </c>
      <c r="C6" s="194" t="s">
        <v>1638</v>
      </c>
      <c r="D6" s="101" t="s">
        <v>1812</v>
      </c>
      <c r="E6" s="101" t="s">
        <v>1438</v>
      </c>
      <c r="F6" s="101" t="s">
        <v>1408</v>
      </c>
      <c r="G6" s="101" t="s">
        <v>65</v>
      </c>
      <c r="H6" s="101" t="s">
        <v>1439</v>
      </c>
      <c r="I6" s="298" t="s">
        <v>1440</v>
      </c>
      <c r="J6" s="101" t="s">
        <v>1441</v>
      </c>
      <c r="K6" s="57" t="s">
        <v>1431</v>
      </c>
      <c r="L6" s="57" t="s">
        <v>1442</v>
      </c>
      <c r="M6" s="99"/>
      <c r="N6" s="175" t="s">
        <v>1443</v>
      </c>
      <c r="O6" s="57" t="s">
        <v>1444</v>
      </c>
      <c r="P6" s="57" t="s">
        <v>1445</v>
      </c>
      <c r="Q6" s="57" t="s">
        <v>1446</v>
      </c>
      <c r="R6" s="169"/>
    </row>
    <row r="7" spans="1:18" ht="31.5" customHeight="1">
      <c r="A7" s="167">
        <v>6</v>
      </c>
      <c r="B7" s="183" t="s">
        <v>52</v>
      </c>
      <c r="C7" s="193" t="s">
        <v>1636</v>
      </c>
      <c r="D7" s="232" t="s">
        <v>536</v>
      </c>
      <c r="E7" s="184" t="s">
        <v>537</v>
      </c>
      <c r="F7" s="184" t="s">
        <v>1408</v>
      </c>
      <c r="G7" s="184" t="s">
        <v>1631</v>
      </c>
      <c r="H7" s="184" t="s">
        <v>538</v>
      </c>
      <c r="I7" s="184"/>
      <c r="J7" s="184"/>
      <c r="K7" s="184"/>
      <c r="L7" s="184"/>
      <c r="M7" s="184"/>
      <c r="N7" s="173" t="s">
        <v>1632</v>
      </c>
      <c r="O7" s="184" t="s">
        <v>1633</v>
      </c>
      <c r="P7" s="184" t="s">
        <v>862</v>
      </c>
      <c r="Q7" s="184" t="s">
        <v>1634</v>
      </c>
      <c r="R7" s="186">
        <v>6.5021424161581599E+18</v>
      </c>
    </row>
    <row r="9" spans="1:18" s="579" customFormat="1" ht="31.5" customHeight="1">
      <c r="A9" s="579">
        <v>1</v>
      </c>
      <c r="B9" s="584" t="s">
        <v>1447</v>
      </c>
      <c r="C9" s="585" t="s">
        <v>2583</v>
      </c>
      <c r="D9" s="586" t="s">
        <v>1449</v>
      </c>
      <c r="E9" s="586" t="s">
        <v>1450</v>
      </c>
      <c r="F9" s="586" t="s">
        <v>1431</v>
      </c>
      <c r="G9" s="586" t="s">
        <v>1451</v>
      </c>
      <c r="H9" s="586" t="s">
        <v>1452</v>
      </c>
      <c r="I9" s="586" t="s">
        <v>1453</v>
      </c>
      <c r="J9" s="586" t="s">
        <v>386</v>
      </c>
      <c r="K9" s="586" t="s">
        <v>1408</v>
      </c>
      <c r="L9" s="586" t="s">
        <v>1454</v>
      </c>
      <c r="M9" s="586" t="s">
        <v>1455</v>
      </c>
      <c r="N9" s="587" t="s">
        <v>1456</v>
      </c>
      <c r="O9" s="586" t="s">
        <v>1457</v>
      </c>
      <c r="P9" s="586">
        <v>4</v>
      </c>
      <c r="Q9" s="586" t="s">
        <v>1458</v>
      </c>
      <c r="R9" s="588"/>
    </row>
    <row r="10" spans="1:18" ht="31.5" customHeight="1">
      <c r="A10" s="167">
        <v>2</v>
      </c>
      <c r="B10" s="170" t="s">
        <v>1447</v>
      </c>
      <c r="C10" s="171" t="s">
        <v>1459</v>
      </c>
      <c r="D10" s="299" t="s">
        <v>1460</v>
      </c>
      <c r="E10" s="171" t="s">
        <v>1461</v>
      </c>
      <c r="F10" s="171" t="s">
        <v>1408</v>
      </c>
      <c r="G10" s="171" t="s">
        <v>1462</v>
      </c>
      <c r="H10" s="171" t="s">
        <v>1463</v>
      </c>
      <c r="I10" s="299" t="s">
        <v>1464</v>
      </c>
      <c r="J10" s="171" t="s">
        <v>1465</v>
      </c>
      <c r="K10" s="171" t="s">
        <v>1408</v>
      </c>
      <c r="L10" s="171" t="s">
        <v>1466</v>
      </c>
      <c r="M10" s="171" t="s">
        <v>1467</v>
      </c>
      <c r="N10" s="174" t="s">
        <v>1468</v>
      </c>
      <c r="O10" s="171" t="s">
        <v>1469</v>
      </c>
      <c r="P10" s="171">
        <v>4</v>
      </c>
      <c r="Q10" s="171" t="s">
        <v>1470</v>
      </c>
      <c r="R10" s="172"/>
    </row>
    <row r="11" spans="1:18" ht="31.5" customHeight="1">
      <c r="A11" s="167">
        <v>3</v>
      </c>
      <c r="B11" s="401" t="s">
        <v>1447</v>
      </c>
      <c r="C11" s="402" t="s">
        <v>2327</v>
      </c>
      <c r="D11" s="402" t="s">
        <v>2328</v>
      </c>
      <c r="E11" s="402" t="s">
        <v>2329</v>
      </c>
      <c r="F11" s="402" t="s">
        <v>1408</v>
      </c>
      <c r="G11" s="402" t="s">
        <v>2330</v>
      </c>
      <c r="H11" s="402" t="s">
        <v>2331</v>
      </c>
      <c r="I11" s="402" t="s">
        <v>2332</v>
      </c>
      <c r="J11" s="402" t="s">
        <v>2333</v>
      </c>
      <c r="K11" s="402" t="s">
        <v>1408</v>
      </c>
      <c r="L11" s="402" t="s">
        <v>2334</v>
      </c>
      <c r="M11" s="402" t="s">
        <v>2335</v>
      </c>
      <c r="N11" s="403" t="s">
        <v>2336</v>
      </c>
      <c r="O11" s="402" t="s">
        <v>2337</v>
      </c>
      <c r="P11" s="402" t="s">
        <v>2338</v>
      </c>
      <c r="Q11" s="171" t="s">
        <v>2339</v>
      </c>
      <c r="R11" s="404">
        <v>6.5006083949181604E+18</v>
      </c>
    </row>
    <row r="12" spans="1:18" ht="31.5" customHeight="1">
      <c r="A12" s="167">
        <v>4</v>
      </c>
      <c r="B12" s="170" t="s">
        <v>1447</v>
      </c>
      <c r="C12" s="171" t="s">
        <v>1471</v>
      </c>
      <c r="D12" s="299" t="s">
        <v>1472</v>
      </c>
      <c r="E12" s="171" t="s">
        <v>549</v>
      </c>
      <c r="F12" s="171" t="s">
        <v>1408</v>
      </c>
      <c r="G12" s="171" t="s">
        <v>1473</v>
      </c>
      <c r="H12" s="171" t="s">
        <v>1474</v>
      </c>
      <c r="I12" s="171"/>
      <c r="J12" s="171"/>
      <c r="K12" s="171"/>
      <c r="L12" s="171"/>
      <c r="M12" s="171"/>
      <c r="N12" s="174" t="s">
        <v>1475</v>
      </c>
      <c r="O12" s="171" t="s">
        <v>1476</v>
      </c>
      <c r="P12" s="171">
        <v>2</v>
      </c>
      <c r="Q12" s="171" t="s">
        <v>1477</v>
      </c>
      <c r="R12" s="172"/>
    </row>
    <row r="13" spans="1:18" s="579" customFormat="1" ht="31.5" customHeight="1">
      <c r="A13" s="579">
        <v>5</v>
      </c>
      <c r="B13" s="580" t="s">
        <v>1447</v>
      </c>
      <c r="C13" s="581" t="s">
        <v>1556</v>
      </c>
      <c r="D13" s="581" t="s">
        <v>1557</v>
      </c>
      <c r="E13" s="581" t="s">
        <v>1558</v>
      </c>
      <c r="F13" s="581" t="s">
        <v>1408</v>
      </c>
      <c r="G13" s="581" t="s">
        <v>1559</v>
      </c>
      <c r="H13" s="581" t="s">
        <v>1560</v>
      </c>
      <c r="I13" s="581" t="s">
        <v>572</v>
      </c>
      <c r="J13" s="581" t="s">
        <v>1561</v>
      </c>
      <c r="K13" s="581" t="s">
        <v>1408</v>
      </c>
      <c r="L13" s="581" t="s">
        <v>1562</v>
      </c>
      <c r="M13" s="581" t="s">
        <v>1563</v>
      </c>
      <c r="N13" s="582" t="s">
        <v>1564</v>
      </c>
      <c r="O13" s="581" t="s">
        <v>1565</v>
      </c>
      <c r="P13" s="581">
        <v>2</v>
      </c>
      <c r="Q13" s="581" t="s">
        <v>1566</v>
      </c>
      <c r="R13" s="583">
        <v>6.4956048692516198E+18</v>
      </c>
    </row>
    <row r="15" spans="1:18" ht="31.5" customHeight="1">
      <c r="A15" s="167">
        <v>1</v>
      </c>
      <c r="B15" s="183" t="s">
        <v>93</v>
      </c>
      <c r="C15" s="184" t="s">
        <v>1582</v>
      </c>
      <c r="D15" s="184" t="s">
        <v>1583</v>
      </c>
      <c r="E15" s="184" t="s">
        <v>1584</v>
      </c>
      <c r="F15" s="184" t="s">
        <v>1408</v>
      </c>
      <c r="G15" s="184" t="s">
        <v>1585</v>
      </c>
      <c r="H15" s="184" t="s">
        <v>1586</v>
      </c>
      <c r="I15" s="184"/>
      <c r="J15" s="184"/>
      <c r="K15" s="184"/>
      <c r="L15" s="184"/>
      <c r="M15" s="184"/>
      <c r="N15" s="173" t="s">
        <v>1587</v>
      </c>
      <c r="O15" s="184" t="s">
        <v>1588</v>
      </c>
      <c r="P15" s="184">
        <v>3</v>
      </c>
      <c r="Q15" s="185" t="s">
        <v>1589</v>
      </c>
      <c r="R15" s="186">
        <v>6.5015566950269501E+18</v>
      </c>
    </row>
    <row r="16" spans="1:18" ht="31.5" customHeight="1">
      <c r="A16" s="167">
        <v>2</v>
      </c>
      <c r="B16" s="183" t="s">
        <v>93</v>
      </c>
      <c r="C16" s="184" t="s">
        <v>1727</v>
      </c>
      <c r="D16" s="184" t="s">
        <v>1661</v>
      </c>
      <c r="E16" s="184" t="s">
        <v>611</v>
      </c>
      <c r="F16" s="184" t="s">
        <v>1408</v>
      </c>
      <c r="G16" s="184" t="s">
        <v>1663</v>
      </c>
      <c r="H16" s="184" t="s">
        <v>1662</v>
      </c>
      <c r="I16" s="184" t="s">
        <v>1654</v>
      </c>
      <c r="J16" s="184" t="s">
        <v>1655</v>
      </c>
      <c r="K16" s="184" t="s">
        <v>1408</v>
      </c>
      <c r="L16" s="184" t="s">
        <v>1657</v>
      </c>
      <c r="M16" s="184" t="s">
        <v>1656</v>
      </c>
      <c r="N16" s="173" t="s">
        <v>1728</v>
      </c>
      <c r="O16" s="184" t="s">
        <v>1729</v>
      </c>
      <c r="P16" s="184" t="s">
        <v>1730</v>
      </c>
      <c r="Q16" s="185" t="s">
        <v>1731</v>
      </c>
      <c r="R16" s="186">
        <v>6.50248348252177E+18</v>
      </c>
    </row>
    <row r="17" spans="1:18" ht="31.5" customHeight="1">
      <c r="A17" s="167">
        <v>3</v>
      </c>
      <c r="B17" s="183" t="s">
        <v>93</v>
      </c>
      <c r="C17" s="184" t="s">
        <v>1732</v>
      </c>
      <c r="D17" s="184" t="s">
        <v>1733</v>
      </c>
      <c r="E17" s="184" t="s">
        <v>482</v>
      </c>
      <c r="F17" s="184" t="s">
        <v>1408</v>
      </c>
      <c r="G17" s="184" t="s">
        <v>1734</v>
      </c>
      <c r="H17" s="184" t="s">
        <v>1735</v>
      </c>
      <c r="I17" s="184" t="s">
        <v>1736</v>
      </c>
      <c r="J17" s="184" t="s">
        <v>515</v>
      </c>
      <c r="K17" s="184" t="s">
        <v>1431</v>
      </c>
      <c r="L17" s="184" t="s">
        <v>1737</v>
      </c>
      <c r="M17" s="184" t="s">
        <v>1738</v>
      </c>
      <c r="N17" s="173" t="s">
        <v>1739</v>
      </c>
      <c r="O17" s="184" t="s">
        <v>1740</v>
      </c>
      <c r="P17" s="184">
        <v>4</v>
      </c>
      <c r="Q17" s="184" t="s">
        <v>1741</v>
      </c>
      <c r="R17" s="186">
        <v>6.5026912824974295E+18</v>
      </c>
    </row>
    <row r="18" spans="1:18" s="256" customFormat="1" ht="31.5" customHeight="1">
      <c r="A18" s="256">
        <v>4</v>
      </c>
      <c r="B18" s="301" t="s">
        <v>93</v>
      </c>
      <c r="C18" s="302" t="s">
        <v>1742</v>
      </c>
      <c r="D18" s="302" t="s">
        <v>1743</v>
      </c>
      <c r="E18" s="302" t="s">
        <v>258</v>
      </c>
      <c r="F18" s="302" t="s">
        <v>1431</v>
      </c>
      <c r="G18" s="302" t="s">
        <v>1569</v>
      </c>
      <c r="H18" s="302" t="s">
        <v>1744</v>
      </c>
      <c r="I18" s="302" t="s">
        <v>1745</v>
      </c>
      <c r="J18" s="302" t="s">
        <v>1746</v>
      </c>
      <c r="K18" s="302" t="s">
        <v>1431</v>
      </c>
      <c r="L18" s="302" t="s">
        <v>1747</v>
      </c>
      <c r="M18" s="302" t="s">
        <v>1748</v>
      </c>
      <c r="N18" s="303" t="s">
        <v>1749</v>
      </c>
      <c r="O18" s="302" t="s">
        <v>420</v>
      </c>
      <c r="P18" s="302">
        <v>5</v>
      </c>
      <c r="Q18" s="302" t="s">
        <v>1750</v>
      </c>
      <c r="R18" s="304">
        <v>6.50271174249297E+18</v>
      </c>
    </row>
    <row r="20" spans="1:18" ht="31.5" customHeight="1">
      <c r="A20" s="167">
        <v>1</v>
      </c>
      <c r="B20" s="183" t="s">
        <v>104</v>
      </c>
      <c r="C20" s="184" t="s">
        <v>1590</v>
      </c>
      <c r="D20" s="300" t="s">
        <v>1591</v>
      </c>
      <c r="E20" s="184" t="s">
        <v>1592</v>
      </c>
      <c r="F20" s="184" t="s">
        <v>1408</v>
      </c>
      <c r="G20" s="184" t="s">
        <v>1593</v>
      </c>
      <c r="H20" s="184" t="s">
        <v>1594</v>
      </c>
      <c r="I20" s="184" t="s">
        <v>1813</v>
      </c>
      <c r="J20" s="184" t="s">
        <v>1595</v>
      </c>
      <c r="K20" s="184" t="s">
        <v>1408</v>
      </c>
      <c r="L20" s="184" t="s">
        <v>1574</v>
      </c>
      <c r="M20" s="184" t="s">
        <v>1596</v>
      </c>
      <c r="N20" s="185" t="s">
        <v>1597</v>
      </c>
      <c r="O20" s="184" t="s">
        <v>1598</v>
      </c>
      <c r="P20" s="184" t="s">
        <v>1599</v>
      </c>
      <c r="Q20" s="185" t="s">
        <v>1600</v>
      </c>
      <c r="R20" s="186">
        <v>6.5015946660247798E+18</v>
      </c>
    </row>
    <row r="21" spans="1:18" ht="31.5" customHeight="1">
      <c r="A21" s="167">
        <v>2</v>
      </c>
      <c r="B21" s="221" t="s">
        <v>104</v>
      </c>
      <c r="C21" s="217" t="s">
        <v>1757</v>
      </c>
      <c r="D21" s="219" t="s">
        <v>1704</v>
      </c>
      <c r="E21" s="219" t="s">
        <v>1705</v>
      </c>
      <c r="F21" s="219" t="s">
        <v>1408</v>
      </c>
      <c r="G21" s="219" t="s">
        <v>1706</v>
      </c>
      <c r="H21" s="219" t="s">
        <v>1707</v>
      </c>
      <c r="I21" s="219" t="s">
        <v>1708</v>
      </c>
      <c r="J21" s="219" t="s">
        <v>1709</v>
      </c>
      <c r="K21" s="219" t="s">
        <v>1408</v>
      </c>
      <c r="L21" s="219" t="s">
        <v>1710</v>
      </c>
      <c r="M21" s="219" t="s">
        <v>1711</v>
      </c>
      <c r="N21" s="222" t="s">
        <v>1712</v>
      </c>
      <c r="O21" s="219" t="s">
        <v>1713</v>
      </c>
      <c r="P21" s="219" t="s">
        <v>1714</v>
      </c>
      <c r="Q21" s="223" t="s">
        <v>1715</v>
      </c>
      <c r="R21" s="224">
        <v>6.5024518048538798E+18</v>
      </c>
    </row>
    <row r="22" spans="1:18" ht="31.5" customHeight="1">
      <c r="A22" s="167">
        <v>3</v>
      </c>
      <c r="B22" s="225" t="s">
        <v>104</v>
      </c>
      <c r="C22" s="218" t="s">
        <v>1768</v>
      </c>
      <c r="D22" s="218" t="s">
        <v>1716</v>
      </c>
      <c r="E22" s="218" t="s">
        <v>1717</v>
      </c>
      <c r="F22" s="218" t="s">
        <v>1408</v>
      </c>
      <c r="G22" s="218" t="s">
        <v>1718</v>
      </c>
      <c r="H22" s="218" t="s">
        <v>1719</v>
      </c>
      <c r="I22" s="218" t="s">
        <v>1720</v>
      </c>
      <c r="J22" s="218" t="s">
        <v>1721</v>
      </c>
      <c r="K22" s="218" t="s">
        <v>1408</v>
      </c>
      <c r="L22" s="218" t="s">
        <v>1722</v>
      </c>
      <c r="M22" s="218" t="s">
        <v>1723</v>
      </c>
      <c r="N22" s="226" t="s">
        <v>1724</v>
      </c>
      <c r="O22" s="218" t="s">
        <v>1713</v>
      </c>
      <c r="P22" s="218" t="s">
        <v>1725</v>
      </c>
      <c r="Q22" s="227" t="s">
        <v>1726</v>
      </c>
      <c r="R22" s="228">
        <v>6.5024784197409997E+18</v>
      </c>
    </row>
    <row r="23" spans="1:18" ht="31.5" customHeight="1">
      <c r="A23" s="167">
        <v>4</v>
      </c>
      <c r="B23" s="183" t="s">
        <v>104</v>
      </c>
      <c r="C23" s="184" t="s">
        <v>1761</v>
      </c>
      <c r="D23" s="300" t="s">
        <v>715</v>
      </c>
      <c r="E23" s="184" t="s">
        <v>716</v>
      </c>
      <c r="F23" s="184" t="s">
        <v>1431</v>
      </c>
      <c r="G23" s="184" t="s">
        <v>718</v>
      </c>
      <c r="H23" s="184" t="s">
        <v>717</v>
      </c>
      <c r="I23" s="300" t="s">
        <v>1762</v>
      </c>
      <c r="J23" s="184" t="s">
        <v>321</v>
      </c>
      <c r="K23" s="184" t="s">
        <v>1431</v>
      </c>
      <c r="L23" s="184" t="s">
        <v>738</v>
      </c>
      <c r="M23" s="184" t="s">
        <v>1763</v>
      </c>
      <c r="N23" s="173" t="s">
        <v>1764</v>
      </c>
      <c r="O23" s="184" t="s">
        <v>1765</v>
      </c>
      <c r="P23" s="184" t="s">
        <v>1766</v>
      </c>
      <c r="Q23" s="184" t="s">
        <v>1767</v>
      </c>
      <c r="R23" s="186">
        <v>6.50413107518434E+18</v>
      </c>
    </row>
    <row r="24" spans="1:18" ht="31.5" customHeight="1">
      <c r="B24" s="183" t="s">
        <v>104</v>
      </c>
      <c r="C24" s="184" t="s">
        <v>2318</v>
      </c>
      <c r="D24" s="184" t="s">
        <v>654</v>
      </c>
      <c r="E24" s="184" t="s">
        <v>655</v>
      </c>
      <c r="F24" s="184" t="s">
        <v>1408</v>
      </c>
      <c r="G24" s="184" t="s">
        <v>658</v>
      </c>
      <c r="H24" s="184" t="s">
        <v>657</v>
      </c>
      <c r="I24" s="184" t="s">
        <v>660</v>
      </c>
      <c r="J24" s="184" t="s">
        <v>661</v>
      </c>
      <c r="K24" s="184" t="s">
        <v>1431</v>
      </c>
      <c r="L24" s="184" t="s">
        <v>663</v>
      </c>
      <c r="M24" s="184" t="s">
        <v>662</v>
      </c>
      <c r="N24" s="173" t="s">
        <v>2319</v>
      </c>
      <c r="O24" s="184" t="s">
        <v>2320</v>
      </c>
      <c r="P24" s="184" t="s">
        <v>2321</v>
      </c>
      <c r="Q24" s="184" t="s">
        <v>2322</v>
      </c>
      <c r="R24" s="186">
        <v>6.5068155534270198E+18</v>
      </c>
    </row>
    <row r="25" spans="1:18" ht="31.5" customHeight="1">
      <c r="B25" s="205"/>
      <c r="C25" s="205"/>
      <c r="D25" s="205"/>
      <c r="E25" s="205"/>
      <c r="F25" s="205"/>
      <c r="G25" s="205"/>
      <c r="H25" s="205"/>
      <c r="I25" s="205"/>
      <c r="J25" s="205"/>
      <c r="K25" s="205"/>
      <c r="L25" s="205"/>
      <c r="M25" s="205"/>
      <c r="N25" s="212"/>
      <c r="O25" s="205"/>
      <c r="P25" s="205"/>
      <c r="Q25" s="206"/>
      <c r="R25" s="205"/>
    </row>
    <row r="26" spans="1:18" s="99" customFormat="1" ht="31.5" customHeight="1">
      <c r="A26" s="167">
        <v>1</v>
      </c>
      <c r="B26" s="213" t="s">
        <v>112</v>
      </c>
      <c r="C26" s="215" t="s">
        <v>1601</v>
      </c>
      <c r="D26" s="233" t="s">
        <v>1602</v>
      </c>
      <c r="E26" s="213" t="s">
        <v>482</v>
      </c>
      <c r="F26" s="213" t="s">
        <v>1408</v>
      </c>
      <c r="G26" s="213" t="s">
        <v>790</v>
      </c>
      <c r="H26" s="213" t="s">
        <v>1603</v>
      </c>
      <c r="I26" s="233" t="s">
        <v>1604</v>
      </c>
      <c r="J26" s="213" t="s">
        <v>611</v>
      </c>
      <c r="K26" s="213" t="s">
        <v>1408</v>
      </c>
      <c r="L26" s="213" t="s">
        <v>505</v>
      </c>
      <c r="M26" s="213" t="s">
        <v>504</v>
      </c>
      <c r="N26" s="177" t="s">
        <v>1605</v>
      </c>
      <c r="O26" s="213" t="s">
        <v>1606</v>
      </c>
      <c r="P26" s="213" t="s">
        <v>1607</v>
      </c>
      <c r="Q26" s="214" t="s">
        <v>1608</v>
      </c>
      <c r="R26" s="213">
        <v>6.5016007586065705E+18</v>
      </c>
    </row>
    <row r="27" spans="1:18" ht="31.5" customHeight="1">
      <c r="A27" s="167">
        <v>2</v>
      </c>
      <c r="B27" s="207" t="s">
        <v>112</v>
      </c>
      <c r="C27" s="208" t="s">
        <v>1609</v>
      </c>
      <c r="D27" s="234" t="s">
        <v>1610</v>
      </c>
      <c r="E27" s="208" t="s">
        <v>453</v>
      </c>
      <c r="F27" s="208" t="s">
        <v>1408</v>
      </c>
      <c r="G27" s="208" t="s">
        <v>1611</v>
      </c>
      <c r="H27" s="208" t="s">
        <v>454</v>
      </c>
      <c r="I27" s="234" t="s">
        <v>1612</v>
      </c>
      <c r="J27" s="208" t="s">
        <v>212</v>
      </c>
      <c r="K27" s="208" t="s">
        <v>1408</v>
      </c>
      <c r="L27" s="208" t="s">
        <v>1613</v>
      </c>
      <c r="M27" s="208" t="s">
        <v>1614</v>
      </c>
      <c r="N27" s="209" t="s">
        <v>1615</v>
      </c>
      <c r="O27" s="208" t="s">
        <v>1616</v>
      </c>
      <c r="P27" s="208" t="s">
        <v>1617</v>
      </c>
      <c r="Q27" s="210" t="s">
        <v>1618</v>
      </c>
      <c r="R27" s="211">
        <v>6.5016164706599895E+18</v>
      </c>
    </row>
    <row r="28" spans="1:18" ht="31.5" customHeight="1">
      <c r="A28" s="167">
        <v>3</v>
      </c>
      <c r="B28" s="183" t="s">
        <v>112</v>
      </c>
      <c r="C28" s="184" t="s">
        <v>1619</v>
      </c>
      <c r="D28" s="232" t="s">
        <v>1620</v>
      </c>
      <c r="E28" s="184" t="s">
        <v>298</v>
      </c>
      <c r="F28" s="184" t="s">
        <v>1408</v>
      </c>
      <c r="G28" s="184" t="s">
        <v>301</v>
      </c>
      <c r="H28" s="184" t="s">
        <v>1621</v>
      </c>
      <c r="I28" s="184"/>
      <c r="J28" s="184"/>
      <c r="K28" s="184"/>
      <c r="L28" s="184"/>
      <c r="M28" s="184"/>
      <c r="N28" s="173" t="s">
        <v>1622</v>
      </c>
      <c r="O28" s="184" t="s">
        <v>1616</v>
      </c>
      <c r="P28" s="184" t="s">
        <v>1617</v>
      </c>
      <c r="Q28" s="185" t="s">
        <v>1623</v>
      </c>
      <c r="R28" s="186">
        <v>6.5016186906522501E+18</v>
      </c>
    </row>
    <row r="29" spans="1:18" ht="31.5" customHeight="1">
      <c r="A29" s="167">
        <v>4</v>
      </c>
      <c r="B29" s="183" t="s">
        <v>112</v>
      </c>
      <c r="C29" s="184" t="s">
        <v>1624</v>
      </c>
      <c r="D29" s="232" t="s">
        <v>1625</v>
      </c>
      <c r="E29" s="184" t="s">
        <v>474</v>
      </c>
      <c r="F29" s="184" t="s">
        <v>1408</v>
      </c>
      <c r="G29" s="184" t="s">
        <v>477</v>
      </c>
      <c r="H29" s="184" t="s">
        <v>1626</v>
      </c>
      <c r="I29" s="232" t="s">
        <v>1627</v>
      </c>
      <c r="J29" s="184" t="s">
        <v>212</v>
      </c>
      <c r="K29" s="184" t="s">
        <v>1408</v>
      </c>
      <c r="L29" s="184" t="s">
        <v>215</v>
      </c>
      <c r="M29" s="184" t="s">
        <v>1628</v>
      </c>
      <c r="N29" s="173" t="s">
        <v>1629</v>
      </c>
      <c r="O29" s="184" t="s">
        <v>1606</v>
      </c>
      <c r="P29" s="184" t="s">
        <v>1607</v>
      </c>
      <c r="Q29" s="185" t="s">
        <v>1630</v>
      </c>
      <c r="R29" s="186">
        <v>6.5016263206563799E+18</v>
      </c>
    </row>
  </sheetData>
  <autoFilter ref="A1:S1" xr:uid="{8FDD4FE4-E04A-49B6-B77A-345996781796}"/>
  <hyperlinks>
    <hyperlink ref="N2" r:id="rId1" xr:uid="{6CA2C0A0-A12E-4CC7-9B6F-11633A130B37}"/>
    <hyperlink ref="N3" r:id="rId2" xr:uid="{F1387CB0-D50B-460C-A6BE-A9A9F2A444AE}"/>
    <hyperlink ref="N4" r:id="rId3" xr:uid="{82426F78-F8A1-40DE-A2AF-197995CFBEA4}"/>
    <hyperlink ref="N5" r:id="rId4" xr:uid="{F2BED0BC-68C7-4D1A-942D-5A1B0852ED2D}"/>
    <hyperlink ref="N6" r:id="rId5" xr:uid="{E329BE95-59C5-4DA2-A36D-BA64A2910922}"/>
    <hyperlink ref="N9" r:id="rId6" xr:uid="{ED2B295C-C44C-4343-9CD9-D31D74197B32}"/>
    <hyperlink ref="N10" r:id="rId7" xr:uid="{E015352B-134C-48F9-B56E-61031ECD39AD}"/>
    <hyperlink ref="N12" r:id="rId8" xr:uid="{C3FB4DDD-E94E-41E7-958A-AB703A2DEB1F}"/>
    <hyperlink ref="N13" r:id="rId9" xr:uid="{52D7A328-E14C-4D0A-ABC3-2A286071F4BA}"/>
    <hyperlink ref="N15" r:id="rId10" xr:uid="{FEE15AC5-2585-447F-AAD6-9F7A63F93742}"/>
    <hyperlink ref="N26" r:id="rId11" xr:uid="{00AB4B59-7617-4864-A134-2D4419DA1595}"/>
    <hyperlink ref="N27" r:id="rId12" xr:uid="{A340C620-9010-491D-85A3-28233CD5CADD}"/>
    <hyperlink ref="N28" r:id="rId13" xr:uid="{CD56B97B-7034-4AE7-B1A4-87D201495FF2}"/>
    <hyperlink ref="N29" r:id="rId14" xr:uid="{194CD06E-7D03-4517-9648-CD8B928B7616}"/>
    <hyperlink ref="N7" r:id="rId15" xr:uid="{73F073E8-906F-417A-A8FF-5CD1108BBF38}"/>
    <hyperlink ref="N21" r:id="rId16" xr:uid="{8C8539DE-5D00-48AE-A109-DFAEB130CBD7}"/>
    <hyperlink ref="N22" r:id="rId17" xr:uid="{3E92E8A2-EF50-4A51-9452-6564EF3B0A41}"/>
    <hyperlink ref="N16" r:id="rId18" xr:uid="{834EDD70-6065-488B-B76D-638AA7027D0C}"/>
    <hyperlink ref="N17" r:id="rId19" xr:uid="{F063E744-FCB1-4D8F-87EA-5C104039E9C7}"/>
    <hyperlink ref="N18" r:id="rId20" xr:uid="{12B4C494-4D7B-4DF5-BEF5-99D57ACA1D67}"/>
    <hyperlink ref="N23" r:id="rId21" xr:uid="{44C9948E-76EC-4316-9B59-F3CEEBA7BB4A}"/>
    <hyperlink ref="N24" r:id="rId22" xr:uid="{34614634-3082-4339-9E0F-B07D8A723D49}"/>
    <hyperlink ref="N11" r:id="rId23" xr:uid="{CD43F31E-E4E5-4D5E-8AEC-360D94059201}"/>
  </hyperlinks>
  <pageMargins left="0.7" right="0.7" top="0.75" bottom="0.75" header="0.3" footer="0.3"/>
  <legacyDrawing r:id="rId2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EC8A-CB58-495E-BA6D-55AF91CDD803}">
  <dimension ref="A3:F10"/>
  <sheetViews>
    <sheetView workbookViewId="0">
      <selection activeCell="C10" sqref="C10"/>
    </sheetView>
  </sheetViews>
  <sheetFormatPr defaultRowHeight="12.5"/>
  <cols>
    <col min="1" max="1" width="25.7265625" bestFit="1" customWidth="1"/>
    <col min="2" max="2" width="15.90625" bestFit="1" customWidth="1"/>
    <col min="3" max="3" width="4" bestFit="1" customWidth="1"/>
    <col min="4" max="4" width="11.08984375" bestFit="1" customWidth="1"/>
  </cols>
  <sheetData>
    <row r="3" spans="1:6">
      <c r="A3" s="160" t="s">
        <v>859</v>
      </c>
      <c r="B3" s="160" t="s">
        <v>860</v>
      </c>
    </row>
    <row r="4" spans="1:6">
      <c r="A4" s="160" t="s">
        <v>861</v>
      </c>
      <c r="B4" t="s">
        <v>862</v>
      </c>
      <c r="C4" t="s">
        <v>863</v>
      </c>
      <c r="D4" t="s">
        <v>864</v>
      </c>
    </row>
    <row r="5" spans="1:6">
      <c r="A5" s="161" t="s">
        <v>174</v>
      </c>
      <c r="B5">
        <v>10</v>
      </c>
      <c r="C5">
        <v>41</v>
      </c>
      <c r="D5">
        <v>51</v>
      </c>
    </row>
    <row r="6" spans="1:6">
      <c r="A6" s="161" t="s">
        <v>819</v>
      </c>
      <c r="C6">
        <v>2</v>
      </c>
      <c r="D6">
        <v>2</v>
      </c>
    </row>
    <row r="7" spans="1:6">
      <c r="A7" s="161" t="s">
        <v>144</v>
      </c>
      <c r="B7">
        <v>13</v>
      </c>
      <c r="C7">
        <v>24</v>
      </c>
      <c r="D7">
        <v>37</v>
      </c>
    </row>
    <row r="8" spans="1:6">
      <c r="A8" s="161" t="s">
        <v>209</v>
      </c>
      <c r="B8">
        <v>11</v>
      </c>
      <c r="C8">
        <v>20</v>
      </c>
      <c r="D8">
        <v>31</v>
      </c>
    </row>
    <row r="9" spans="1:6">
      <c r="A9" s="161" t="s">
        <v>137</v>
      </c>
      <c r="B9">
        <v>10</v>
      </c>
      <c r="C9">
        <v>22</v>
      </c>
      <c r="D9">
        <v>32</v>
      </c>
    </row>
    <row r="10" spans="1:6">
      <c r="A10" s="161" t="s">
        <v>864</v>
      </c>
      <c r="B10">
        <v>44</v>
      </c>
      <c r="C10">
        <v>109</v>
      </c>
      <c r="D10">
        <v>153</v>
      </c>
      <c r="F10" t="s">
        <v>865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F3CEB-D9BF-49C0-A9AB-65C7B4DD5CF4}">
  <dimension ref="A1:J167"/>
  <sheetViews>
    <sheetView workbookViewId="0">
      <pane ySplit="1" topLeftCell="A2" activePane="bottomLeft" state="frozen"/>
      <selection pane="bottomLeft" activeCell="F109" sqref="F109"/>
    </sheetView>
  </sheetViews>
  <sheetFormatPr defaultRowHeight="12.5"/>
  <cols>
    <col min="2" max="2" width="18.453125" customWidth="1"/>
    <col min="3" max="3" width="18.26953125" customWidth="1"/>
    <col min="4" max="4" width="20.81640625" customWidth="1"/>
    <col min="5" max="5" width="13.1796875" customWidth="1"/>
    <col min="6" max="6" width="18.7265625" customWidth="1"/>
    <col min="7" max="7" width="18" customWidth="1"/>
    <col min="8" max="8" width="21.54296875" customWidth="1"/>
  </cols>
  <sheetData>
    <row r="1" spans="1:10" ht="26">
      <c r="A1" s="61" t="s">
        <v>866</v>
      </c>
      <c r="B1" s="62" t="s">
        <v>128</v>
      </c>
      <c r="C1" s="61" t="s">
        <v>867</v>
      </c>
      <c r="D1" s="63" t="s">
        <v>868</v>
      </c>
      <c r="E1" s="64" t="s">
        <v>870</v>
      </c>
      <c r="F1" s="64" t="s">
        <v>1207</v>
      </c>
      <c r="G1" s="64" t="s">
        <v>1208</v>
      </c>
      <c r="H1" s="64" t="s">
        <v>1209</v>
      </c>
      <c r="I1" s="146" t="s">
        <v>871</v>
      </c>
      <c r="J1" s="146" t="s">
        <v>1210</v>
      </c>
    </row>
    <row r="2" spans="1:10" ht="39">
      <c r="A2" s="81">
        <v>14</v>
      </c>
      <c r="B2" s="82" t="s">
        <v>908</v>
      </c>
      <c r="C2" s="81" t="s">
        <v>1211</v>
      </c>
      <c r="D2" s="83" t="s">
        <v>909</v>
      </c>
      <c r="E2" s="69" t="s">
        <v>974</v>
      </c>
      <c r="F2" s="69" t="s">
        <v>974</v>
      </c>
      <c r="G2" s="69" t="s">
        <v>974</v>
      </c>
      <c r="H2" s="69" t="s">
        <v>974</v>
      </c>
      <c r="I2" t="e">
        <f>VLOOKUP(F2,Registrations!G:N,6,0)</f>
        <v>#N/A</v>
      </c>
      <c r="J2" t="e">
        <f>IF(I2="#NA","No", "Yes")</f>
        <v>#N/A</v>
      </c>
    </row>
    <row r="3" spans="1:10" ht="26">
      <c r="A3" s="81">
        <v>28</v>
      </c>
      <c r="B3" s="82" t="s">
        <v>942</v>
      </c>
      <c r="C3" s="81" t="s">
        <v>1212</v>
      </c>
      <c r="D3" s="83" t="s">
        <v>944</v>
      </c>
      <c r="E3" s="69" t="s">
        <v>974</v>
      </c>
      <c r="F3" s="69" t="s">
        <v>974</v>
      </c>
      <c r="G3" s="69" t="s">
        <v>974</v>
      </c>
      <c r="H3" s="84" t="s">
        <v>974</v>
      </c>
      <c r="I3" t="e">
        <f>VLOOKUP(F3,Registrations!G:N,6,0)</f>
        <v>#N/A</v>
      </c>
      <c r="J3" t="e">
        <f t="shared" ref="J3:J66" si="0">IF(I3="#NA","No", "Yes")</f>
        <v>#N/A</v>
      </c>
    </row>
    <row r="4" spans="1:10" ht="26">
      <c r="A4" s="65">
        <v>41</v>
      </c>
      <c r="B4" s="66" t="s">
        <v>972</v>
      </c>
      <c r="C4" s="65" t="s">
        <v>1213</v>
      </c>
      <c r="D4" s="67" t="s">
        <v>971</v>
      </c>
      <c r="E4" s="68" t="s">
        <v>974</v>
      </c>
      <c r="F4" s="125" t="s">
        <v>973</v>
      </c>
      <c r="G4" s="68" t="s">
        <v>974</v>
      </c>
      <c r="H4" s="71" t="s">
        <v>974</v>
      </c>
      <c r="I4" t="e">
        <f>VLOOKUP(F4,Registrations!G:N,6,0)</f>
        <v>#N/A</v>
      </c>
      <c r="J4" t="e">
        <f t="shared" si="0"/>
        <v>#N/A</v>
      </c>
    </row>
    <row r="5" spans="1:10" ht="65">
      <c r="A5" s="81">
        <v>48</v>
      </c>
      <c r="B5" s="82" t="s">
        <v>989</v>
      </c>
      <c r="C5" s="81" t="s">
        <v>873</v>
      </c>
      <c r="D5" s="83" t="s">
        <v>402</v>
      </c>
      <c r="E5" s="69" t="s">
        <v>876</v>
      </c>
      <c r="F5" s="130" t="s">
        <v>990</v>
      </c>
      <c r="G5" s="138" t="s">
        <v>974</v>
      </c>
      <c r="H5" s="69" t="s">
        <v>202</v>
      </c>
      <c r="I5" t="e">
        <f>VLOOKUP(F5,Registrations!G:N,6,0)</f>
        <v>#N/A</v>
      </c>
      <c r="J5" t="e">
        <f t="shared" si="0"/>
        <v>#N/A</v>
      </c>
    </row>
    <row r="6" spans="1:10" ht="26">
      <c r="A6" s="65">
        <v>53</v>
      </c>
      <c r="B6" s="66" t="s">
        <v>1000</v>
      </c>
      <c r="C6" s="65" t="s">
        <v>881</v>
      </c>
      <c r="D6" s="67" t="s">
        <v>874</v>
      </c>
      <c r="E6" s="68" t="s">
        <v>974</v>
      </c>
      <c r="F6" s="68" t="s">
        <v>319</v>
      </c>
      <c r="G6" s="68" t="s">
        <v>144</v>
      </c>
      <c r="H6" s="70" t="s">
        <v>245</v>
      </c>
      <c r="I6" t="str">
        <f>VLOOKUP(F6,Registrations!G:N,6,0)</f>
        <v>IIT Bombay</v>
      </c>
      <c r="J6" t="str">
        <f t="shared" si="0"/>
        <v>Yes</v>
      </c>
    </row>
    <row r="7" spans="1:10" ht="26">
      <c r="A7" s="65">
        <v>70</v>
      </c>
      <c r="B7" s="66" t="s">
        <v>1038</v>
      </c>
      <c r="C7" s="65" t="s">
        <v>873</v>
      </c>
      <c r="D7" s="67" t="s">
        <v>1039</v>
      </c>
      <c r="E7" s="68" t="s">
        <v>974</v>
      </c>
      <c r="F7" s="125" t="s">
        <v>1040</v>
      </c>
      <c r="G7" s="68" t="s">
        <v>974</v>
      </c>
      <c r="H7" s="71" t="s">
        <v>974</v>
      </c>
      <c r="I7" t="e">
        <f>VLOOKUP(F7,Registrations!G:N,6,0)</f>
        <v>#N/A</v>
      </c>
      <c r="J7" t="e">
        <f t="shared" si="0"/>
        <v>#N/A</v>
      </c>
    </row>
    <row r="8" spans="1:10" ht="26">
      <c r="A8" s="81">
        <v>84</v>
      </c>
      <c r="B8" s="82" t="s">
        <v>1060</v>
      </c>
      <c r="C8" s="81" t="s">
        <v>1061</v>
      </c>
      <c r="D8" s="83" t="s">
        <v>1025</v>
      </c>
      <c r="E8" s="69" t="s">
        <v>974</v>
      </c>
      <c r="F8" s="97" t="s">
        <v>974</v>
      </c>
      <c r="G8" s="90" t="s">
        <v>974</v>
      </c>
      <c r="H8" s="97" t="s">
        <v>974</v>
      </c>
      <c r="I8" t="e">
        <f>VLOOKUP(F8,Registrations!G:N,6,0)</f>
        <v>#N/A</v>
      </c>
      <c r="J8" t="e">
        <f t="shared" si="0"/>
        <v>#N/A</v>
      </c>
    </row>
    <row r="9" spans="1:10" ht="26">
      <c r="A9" s="81">
        <v>85</v>
      </c>
      <c r="B9" s="82" t="s">
        <v>1062</v>
      </c>
      <c r="C9" s="81" t="s">
        <v>1063</v>
      </c>
      <c r="D9" s="83" t="s">
        <v>1025</v>
      </c>
      <c r="E9" s="69" t="s">
        <v>974</v>
      </c>
      <c r="F9" s="73" t="s">
        <v>974</v>
      </c>
      <c r="G9" s="69" t="s">
        <v>974</v>
      </c>
      <c r="H9" s="78" t="s">
        <v>974</v>
      </c>
      <c r="I9" t="e">
        <f>VLOOKUP(F9,Registrations!G:N,6,0)</f>
        <v>#N/A</v>
      </c>
      <c r="J9" t="e">
        <f t="shared" si="0"/>
        <v>#N/A</v>
      </c>
    </row>
    <row r="10" spans="1:10" ht="39">
      <c r="A10" s="81">
        <v>86</v>
      </c>
      <c r="B10" s="82" t="s">
        <v>1064</v>
      </c>
      <c r="C10" s="81" t="s">
        <v>1065</v>
      </c>
      <c r="D10" s="83" t="s">
        <v>944</v>
      </c>
      <c r="E10" s="69" t="s">
        <v>974</v>
      </c>
      <c r="F10" s="69" t="s">
        <v>974</v>
      </c>
      <c r="G10" s="69" t="s">
        <v>974</v>
      </c>
      <c r="H10" s="79" t="s">
        <v>974</v>
      </c>
      <c r="I10" t="e">
        <f>VLOOKUP(F10,Registrations!G:N,6,0)</f>
        <v>#N/A</v>
      </c>
      <c r="J10" t="e">
        <f t="shared" si="0"/>
        <v>#N/A</v>
      </c>
    </row>
    <row r="11" spans="1:10" ht="26">
      <c r="A11" s="81">
        <v>87</v>
      </c>
      <c r="B11" s="82" t="s">
        <v>1066</v>
      </c>
      <c r="C11" s="81" t="s">
        <v>1067</v>
      </c>
      <c r="D11" s="83" t="s">
        <v>1025</v>
      </c>
      <c r="E11" s="69" t="s">
        <v>974</v>
      </c>
      <c r="F11" s="97" t="s">
        <v>974</v>
      </c>
      <c r="G11" s="90" t="s">
        <v>974</v>
      </c>
      <c r="H11" s="97" t="s">
        <v>974</v>
      </c>
      <c r="I11" t="e">
        <f>VLOOKUP(F11,Registrations!G:N,6,0)</f>
        <v>#N/A</v>
      </c>
      <c r="J11" t="e">
        <f t="shared" si="0"/>
        <v>#N/A</v>
      </c>
    </row>
    <row r="12" spans="1:10" ht="26">
      <c r="A12" s="65">
        <v>112</v>
      </c>
      <c r="B12" s="66" t="s">
        <v>1111</v>
      </c>
      <c r="C12" s="65" t="s">
        <v>873</v>
      </c>
      <c r="D12" s="67" t="s">
        <v>971</v>
      </c>
      <c r="E12" s="68" t="s">
        <v>974</v>
      </c>
      <c r="F12" s="133" t="s">
        <v>1112</v>
      </c>
      <c r="G12" s="68" t="s">
        <v>974</v>
      </c>
      <c r="H12" s="143" t="s">
        <v>974</v>
      </c>
      <c r="I12" t="e">
        <f>VLOOKUP(F12,Registrations!G:N,6,0)</f>
        <v>#N/A</v>
      </c>
      <c r="J12" t="e">
        <f t="shared" si="0"/>
        <v>#N/A</v>
      </c>
    </row>
    <row r="13" spans="1:10" ht="26">
      <c r="A13" s="65">
        <v>125</v>
      </c>
      <c r="B13" s="66" t="s">
        <v>1138</v>
      </c>
      <c r="C13" s="65" t="s">
        <v>873</v>
      </c>
      <c r="D13" s="67" t="s">
        <v>971</v>
      </c>
      <c r="E13" s="68" t="s">
        <v>974</v>
      </c>
      <c r="F13" s="125" t="s">
        <v>1139</v>
      </c>
      <c r="G13" s="68" t="s">
        <v>974</v>
      </c>
      <c r="H13" s="70" t="s">
        <v>974</v>
      </c>
      <c r="I13" t="e">
        <f>VLOOKUP(F13,Registrations!G:N,6,0)</f>
        <v>#N/A</v>
      </c>
      <c r="J13" t="e">
        <f t="shared" si="0"/>
        <v>#N/A</v>
      </c>
    </row>
    <row r="14" spans="1:10" ht="39">
      <c r="A14" s="81">
        <v>135</v>
      </c>
      <c r="B14" s="82" t="s">
        <v>1159</v>
      </c>
      <c r="C14" s="81" t="s">
        <v>885</v>
      </c>
      <c r="D14" s="83" t="s">
        <v>402</v>
      </c>
      <c r="E14" s="69" t="s">
        <v>974</v>
      </c>
      <c r="F14" s="69" t="s">
        <v>974</v>
      </c>
      <c r="G14" s="69" t="s">
        <v>974</v>
      </c>
      <c r="H14" s="73" t="s">
        <v>974</v>
      </c>
      <c r="I14" t="e">
        <f>VLOOKUP(F14,Registrations!G:N,6,0)</f>
        <v>#N/A</v>
      </c>
      <c r="J14" t="e">
        <f t="shared" si="0"/>
        <v>#N/A</v>
      </c>
    </row>
    <row r="15" spans="1:10" ht="13">
      <c r="A15" s="90">
        <v>165</v>
      </c>
      <c r="B15" s="124" t="s">
        <v>1214</v>
      </c>
      <c r="C15" s="90" t="s">
        <v>974</v>
      </c>
      <c r="D15" s="69" t="s">
        <v>1215</v>
      </c>
      <c r="E15" s="69" t="s">
        <v>974</v>
      </c>
      <c r="F15" s="69" t="s">
        <v>974</v>
      </c>
      <c r="G15" s="69" t="s">
        <v>974</v>
      </c>
      <c r="H15" s="84" t="s">
        <v>974</v>
      </c>
      <c r="I15" t="e">
        <f>VLOOKUP(F15,Registrations!G:N,6,0)</f>
        <v>#N/A</v>
      </c>
      <c r="J15" t="e">
        <f t="shared" si="0"/>
        <v>#N/A</v>
      </c>
    </row>
    <row r="16" spans="1:10" ht="26">
      <c r="A16" s="65">
        <v>3</v>
      </c>
      <c r="B16" s="66" t="s">
        <v>880</v>
      </c>
      <c r="C16" s="65" t="s">
        <v>1211</v>
      </c>
      <c r="D16" s="67" t="s">
        <v>879</v>
      </c>
      <c r="E16" s="68" t="s">
        <v>876</v>
      </c>
      <c r="F16" s="69" t="s">
        <v>740</v>
      </c>
      <c r="G16" s="68" t="s">
        <v>174</v>
      </c>
      <c r="H16" s="71" t="s">
        <v>772</v>
      </c>
      <c r="I16" t="str">
        <f>VLOOKUP(F16,Registrations!G:N,6,0)</f>
        <v>IISc Bangalore</v>
      </c>
      <c r="J16" t="str">
        <f t="shared" si="0"/>
        <v>Yes</v>
      </c>
    </row>
    <row r="17" spans="1:10" ht="65">
      <c r="A17" s="65">
        <v>6</v>
      </c>
      <c r="B17" s="66" t="s">
        <v>886</v>
      </c>
      <c r="C17" s="65" t="s">
        <v>1211</v>
      </c>
      <c r="D17" s="67" t="s">
        <v>888</v>
      </c>
      <c r="E17" s="68" t="s">
        <v>876</v>
      </c>
      <c r="F17" s="72" t="s">
        <v>889</v>
      </c>
      <c r="G17" s="68" t="s">
        <v>174</v>
      </c>
      <c r="H17" s="84" t="s">
        <v>486</v>
      </c>
      <c r="I17" t="e">
        <f>VLOOKUP(F17,Registrations!G:N,6,0)</f>
        <v>#N/A</v>
      </c>
      <c r="J17" s="59" t="s">
        <v>863</v>
      </c>
    </row>
    <row r="18" spans="1:10" ht="52">
      <c r="A18" s="65">
        <v>13</v>
      </c>
      <c r="B18" s="66" t="s">
        <v>905</v>
      </c>
      <c r="C18" s="65" t="s">
        <v>1211</v>
      </c>
      <c r="D18" s="67" t="s">
        <v>907</v>
      </c>
      <c r="E18" s="68" t="s">
        <v>876</v>
      </c>
      <c r="F18" s="80" t="s">
        <v>72</v>
      </c>
      <c r="G18" s="68" t="s">
        <v>174</v>
      </c>
      <c r="H18" s="73" t="s">
        <v>408</v>
      </c>
      <c r="I18" t="str">
        <f>VLOOKUP(F18,Registrations!G:N,6,0)</f>
        <v>IISc Bangalore</v>
      </c>
      <c r="J18" t="str">
        <f t="shared" si="0"/>
        <v>Yes</v>
      </c>
    </row>
    <row r="19" spans="1:10" ht="26">
      <c r="A19" s="65">
        <v>15</v>
      </c>
      <c r="B19" s="66" t="s">
        <v>912</v>
      </c>
      <c r="C19" s="65" t="s">
        <v>913</v>
      </c>
      <c r="D19" s="67" t="s">
        <v>402</v>
      </c>
      <c r="E19" s="68" t="s">
        <v>876</v>
      </c>
      <c r="F19" s="80" t="s">
        <v>914</v>
      </c>
      <c r="G19" s="68" t="s">
        <v>174</v>
      </c>
      <c r="H19" s="144" t="s">
        <v>772</v>
      </c>
      <c r="I19" t="e">
        <f>VLOOKUP(F19,Registrations!G:N,6,0)</f>
        <v>#N/A</v>
      </c>
      <c r="J19" t="e">
        <f t="shared" si="0"/>
        <v>#N/A</v>
      </c>
    </row>
    <row r="20" spans="1:10" ht="39">
      <c r="A20" s="65">
        <v>17</v>
      </c>
      <c r="B20" s="66" t="s">
        <v>918</v>
      </c>
      <c r="C20" s="65" t="s">
        <v>1216</v>
      </c>
      <c r="D20" s="67" t="s">
        <v>879</v>
      </c>
      <c r="E20" s="68" t="s">
        <v>876</v>
      </c>
      <c r="F20" s="80" t="s">
        <v>839</v>
      </c>
      <c r="G20" s="68" t="s">
        <v>174</v>
      </c>
      <c r="H20" s="69" t="s">
        <v>461</v>
      </c>
      <c r="I20" t="str">
        <f>VLOOKUP(F20,Registrations!G:N,6,0)</f>
        <v>IISc Bangalore</v>
      </c>
      <c r="J20" t="str">
        <f t="shared" si="0"/>
        <v>Yes</v>
      </c>
    </row>
    <row r="21" spans="1:10" ht="52">
      <c r="A21" s="65">
        <v>29</v>
      </c>
      <c r="B21" s="66" t="s">
        <v>946</v>
      </c>
      <c r="C21" s="65" t="s">
        <v>1211</v>
      </c>
      <c r="D21" s="67" t="s">
        <v>947</v>
      </c>
      <c r="E21" s="68" t="s">
        <v>876</v>
      </c>
      <c r="F21" s="72" t="s">
        <v>723</v>
      </c>
      <c r="G21" s="68" t="s">
        <v>174</v>
      </c>
      <c r="H21" s="69" t="s">
        <v>408</v>
      </c>
      <c r="I21" t="str">
        <f>VLOOKUP(F21,Registrations!G:N,6,0)</f>
        <v>IISc Bangalore</v>
      </c>
      <c r="J21" t="str">
        <f t="shared" si="0"/>
        <v>Yes</v>
      </c>
    </row>
    <row r="22" spans="1:10" ht="65">
      <c r="A22" s="65">
        <v>31</v>
      </c>
      <c r="B22" s="66" t="s">
        <v>949</v>
      </c>
      <c r="C22" s="65" t="s">
        <v>1213</v>
      </c>
      <c r="D22" s="67" t="s">
        <v>402</v>
      </c>
      <c r="E22" s="68" t="s">
        <v>876</v>
      </c>
      <c r="F22" s="126" t="s">
        <v>950</v>
      </c>
      <c r="G22" s="75" t="s">
        <v>174</v>
      </c>
      <c r="H22" s="129" t="s">
        <v>202</v>
      </c>
      <c r="I22" t="e">
        <f>VLOOKUP(F22,Registrations!G:N,6,0)</f>
        <v>#N/A</v>
      </c>
      <c r="J22" t="e">
        <f t="shared" si="0"/>
        <v>#N/A</v>
      </c>
    </row>
    <row r="23" spans="1:10" ht="65">
      <c r="A23" s="65">
        <v>32</v>
      </c>
      <c r="B23" s="66" t="s">
        <v>951</v>
      </c>
      <c r="C23" s="65" t="s">
        <v>1211</v>
      </c>
      <c r="D23" s="67" t="s">
        <v>888</v>
      </c>
      <c r="E23" s="68" t="s">
        <v>876</v>
      </c>
      <c r="F23" s="94" t="s">
        <v>512</v>
      </c>
      <c r="G23" s="68" t="s">
        <v>174</v>
      </c>
      <c r="H23" s="73" t="s">
        <v>486</v>
      </c>
      <c r="I23" t="str">
        <f>VLOOKUP(F23,Registrations!G:N,6,0)</f>
        <v>IISc Bangalore</v>
      </c>
      <c r="J23" t="str">
        <f t="shared" si="0"/>
        <v>Yes</v>
      </c>
    </row>
    <row r="24" spans="1:10" ht="39">
      <c r="A24" s="65">
        <v>36</v>
      </c>
      <c r="B24" s="66" t="s">
        <v>962</v>
      </c>
      <c r="C24" s="65" t="s">
        <v>963</v>
      </c>
      <c r="D24" s="67" t="s">
        <v>964</v>
      </c>
      <c r="E24" s="68" t="s">
        <v>876</v>
      </c>
      <c r="F24" s="72" t="s">
        <v>227</v>
      </c>
      <c r="G24" s="68" t="s">
        <v>174</v>
      </c>
      <c r="H24" s="68" t="s">
        <v>230</v>
      </c>
      <c r="I24" t="str">
        <f>VLOOKUP(F24,Registrations!G:N,6,0)</f>
        <v>IISc Bangalore</v>
      </c>
      <c r="J24" t="str">
        <f t="shared" si="0"/>
        <v>Yes</v>
      </c>
    </row>
    <row r="25" spans="1:10" ht="39">
      <c r="A25" s="65">
        <v>40</v>
      </c>
      <c r="B25" s="66" t="s">
        <v>970</v>
      </c>
      <c r="C25" s="65" t="s">
        <v>1211</v>
      </c>
      <c r="D25" s="67" t="s">
        <v>971</v>
      </c>
      <c r="E25" s="68" t="s">
        <v>876</v>
      </c>
      <c r="F25" s="80" t="s">
        <v>460</v>
      </c>
      <c r="G25" s="68" t="s">
        <v>174</v>
      </c>
      <c r="H25" s="69" t="s">
        <v>461</v>
      </c>
      <c r="I25" t="str">
        <f>VLOOKUP(F25,Registrations!G:N,6,0)</f>
        <v>IISc Bangalore</v>
      </c>
      <c r="J25" t="str">
        <f t="shared" si="0"/>
        <v>Yes</v>
      </c>
    </row>
    <row r="26" spans="1:10" ht="65">
      <c r="A26" s="65">
        <v>45</v>
      </c>
      <c r="B26" s="87" t="s">
        <v>981</v>
      </c>
      <c r="C26" s="65" t="s">
        <v>1213</v>
      </c>
      <c r="D26" s="67" t="s">
        <v>161</v>
      </c>
      <c r="E26" s="68" t="s">
        <v>876</v>
      </c>
      <c r="F26" s="72" t="s">
        <v>485</v>
      </c>
      <c r="G26" s="68" t="s">
        <v>174</v>
      </c>
      <c r="H26" s="69" t="s">
        <v>486</v>
      </c>
      <c r="I26" t="str">
        <f>VLOOKUP(F26,Registrations!G:N,6,0)</f>
        <v>IISc Bangalore</v>
      </c>
      <c r="J26" t="str">
        <f t="shared" si="0"/>
        <v>Yes</v>
      </c>
    </row>
    <row r="27" spans="1:10" ht="39">
      <c r="A27" s="65">
        <v>46</v>
      </c>
      <c r="B27" s="66" t="s">
        <v>983</v>
      </c>
      <c r="C27" s="65" t="s">
        <v>984</v>
      </c>
      <c r="D27" s="67" t="s">
        <v>985</v>
      </c>
      <c r="E27" s="68" t="s">
        <v>921</v>
      </c>
      <c r="F27" s="69" t="s">
        <v>986</v>
      </c>
      <c r="G27" s="68" t="s">
        <v>174</v>
      </c>
      <c r="H27" s="69" t="s">
        <v>461</v>
      </c>
      <c r="I27" t="e">
        <f>VLOOKUP(F27,Registrations!G:N,6,0)</f>
        <v>#N/A</v>
      </c>
      <c r="J27" s="59" t="s">
        <v>863</v>
      </c>
    </row>
    <row r="28" spans="1:10" ht="39">
      <c r="A28" s="65">
        <v>52</v>
      </c>
      <c r="B28" s="87" t="s">
        <v>998</v>
      </c>
      <c r="C28" s="65" t="s">
        <v>881</v>
      </c>
      <c r="D28" s="67" t="s">
        <v>161</v>
      </c>
      <c r="E28" s="68" t="s">
        <v>876</v>
      </c>
      <c r="F28" s="91" t="s">
        <v>999</v>
      </c>
      <c r="G28" s="68" t="s">
        <v>174</v>
      </c>
      <c r="H28" s="69" t="s">
        <v>461</v>
      </c>
      <c r="I28" t="e">
        <f>VLOOKUP(F28,Registrations!G:N,6,0)</f>
        <v>#N/A</v>
      </c>
      <c r="J28" t="e">
        <f t="shared" si="0"/>
        <v>#N/A</v>
      </c>
    </row>
    <row r="29" spans="1:10" ht="52">
      <c r="A29" s="65">
        <v>58</v>
      </c>
      <c r="B29" s="87" t="s">
        <v>1009</v>
      </c>
      <c r="C29" s="65" t="s">
        <v>1010</v>
      </c>
      <c r="D29" s="67" t="s">
        <v>874</v>
      </c>
      <c r="E29" s="68" t="s">
        <v>876</v>
      </c>
      <c r="F29" s="80" t="s">
        <v>1011</v>
      </c>
      <c r="G29" s="68" t="s">
        <v>174</v>
      </c>
      <c r="H29" s="84" t="s">
        <v>408</v>
      </c>
      <c r="I29" t="e">
        <f>VLOOKUP(F29,Registrations!G:N,6,0)</f>
        <v>#N/A</v>
      </c>
      <c r="J29" t="e">
        <f t="shared" si="0"/>
        <v>#N/A</v>
      </c>
    </row>
    <row r="30" spans="1:10" ht="52">
      <c r="A30" s="65">
        <v>59</v>
      </c>
      <c r="B30" s="66" t="s">
        <v>1012</v>
      </c>
      <c r="C30" s="65" t="s">
        <v>1013</v>
      </c>
      <c r="D30" s="67" t="s">
        <v>1014</v>
      </c>
      <c r="E30" s="68" t="s">
        <v>921</v>
      </c>
      <c r="F30" s="80" t="s">
        <v>567</v>
      </c>
      <c r="G30" s="68" t="s">
        <v>174</v>
      </c>
      <c r="H30" s="73" t="s">
        <v>408</v>
      </c>
      <c r="I30" t="str">
        <f>VLOOKUP(F30,Registrations!G:N,6,0)</f>
        <v>IISc Bangalore</v>
      </c>
      <c r="J30" t="str">
        <f t="shared" si="0"/>
        <v>Yes</v>
      </c>
    </row>
    <row r="31" spans="1:10" ht="65">
      <c r="A31" s="65">
        <v>61</v>
      </c>
      <c r="B31" s="66" t="s">
        <v>1017</v>
      </c>
      <c r="C31" s="65" t="s">
        <v>1018</v>
      </c>
      <c r="D31" s="67" t="s">
        <v>891</v>
      </c>
      <c r="E31" s="68" t="s">
        <v>876</v>
      </c>
      <c r="F31" s="92" t="s">
        <v>1019</v>
      </c>
      <c r="G31" s="68" t="s">
        <v>174</v>
      </c>
      <c r="H31" s="70" t="s">
        <v>202</v>
      </c>
      <c r="I31" t="str">
        <f>VLOOKUP(F31,Registrations!G:N,6,0)</f>
        <v>IISc Bangalore</v>
      </c>
      <c r="J31" t="str">
        <f t="shared" si="0"/>
        <v>Yes</v>
      </c>
    </row>
    <row r="32" spans="1:10" ht="65">
      <c r="A32" s="65">
        <v>67</v>
      </c>
      <c r="B32" s="66" t="s">
        <v>1032</v>
      </c>
      <c r="C32" s="65" t="s">
        <v>881</v>
      </c>
      <c r="D32" s="67" t="s">
        <v>161</v>
      </c>
      <c r="E32" s="68" t="s">
        <v>921</v>
      </c>
      <c r="F32" s="93" t="s">
        <v>1033</v>
      </c>
      <c r="G32" s="68" t="s">
        <v>174</v>
      </c>
      <c r="H32" s="73" t="s">
        <v>486</v>
      </c>
      <c r="I32" t="e">
        <f>VLOOKUP(F32,Registrations!G:N,6,0)</f>
        <v>#N/A</v>
      </c>
      <c r="J32" t="e">
        <f t="shared" si="0"/>
        <v>#N/A</v>
      </c>
    </row>
    <row r="33" spans="1:10" ht="65">
      <c r="A33" s="65">
        <v>72</v>
      </c>
      <c r="B33" s="66" t="s">
        <v>1044</v>
      </c>
      <c r="C33" s="65" t="s">
        <v>881</v>
      </c>
      <c r="D33" s="67" t="s">
        <v>161</v>
      </c>
      <c r="E33" s="68" t="s">
        <v>876</v>
      </c>
      <c r="F33" s="93" t="s">
        <v>1045</v>
      </c>
      <c r="G33" s="68" t="s">
        <v>174</v>
      </c>
      <c r="H33" s="69" t="s">
        <v>486</v>
      </c>
      <c r="I33" t="e">
        <f>VLOOKUP(F33,Registrations!G:N,6,0)</f>
        <v>#N/A</v>
      </c>
      <c r="J33" s="59" t="s">
        <v>863</v>
      </c>
    </row>
    <row r="34" spans="1:10" ht="52">
      <c r="A34" s="65">
        <v>73</v>
      </c>
      <c r="B34" s="66" t="s">
        <v>1046</v>
      </c>
      <c r="C34" s="65" t="s">
        <v>881</v>
      </c>
      <c r="D34" s="67" t="s">
        <v>980</v>
      </c>
      <c r="E34" s="68" t="s">
        <v>876</v>
      </c>
      <c r="F34" s="72" t="s">
        <v>832</v>
      </c>
      <c r="G34" s="68" t="s">
        <v>174</v>
      </c>
      <c r="H34" s="69" t="s">
        <v>408</v>
      </c>
      <c r="I34" t="str">
        <f>VLOOKUP(F34,Registrations!G:N,6,0)</f>
        <v>IISc Bangalore</v>
      </c>
      <c r="J34" t="str">
        <f t="shared" si="0"/>
        <v>Yes</v>
      </c>
    </row>
    <row r="35" spans="1:10" ht="39">
      <c r="A35" s="65">
        <v>74</v>
      </c>
      <c r="B35" s="87" t="s">
        <v>1047</v>
      </c>
      <c r="C35" s="65" t="s">
        <v>873</v>
      </c>
      <c r="D35" s="67" t="s">
        <v>161</v>
      </c>
      <c r="E35" s="68" t="s">
        <v>876</v>
      </c>
      <c r="F35" s="76" t="s">
        <v>571</v>
      </c>
      <c r="G35" s="75" t="s">
        <v>174</v>
      </c>
      <c r="H35" s="97" t="s">
        <v>461</v>
      </c>
      <c r="I35">
        <f>VLOOKUP(F35,Registrations!G:N,6,0)</f>
        <v>0</v>
      </c>
      <c r="J35" t="str">
        <f t="shared" si="0"/>
        <v>Yes</v>
      </c>
    </row>
    <row r="36" spans="1:10" ht="39">
      <c r="A36" s="65">
        <v>77</v>
      </c>
      <c r="B36" s="66" t="s">
        <v>1050</v>
      </c>
      <c r="C36" s="65" t="s">
        <v>881</v>
      </c>
      <c r="D36" s="67" t="s">
        <v>879</v>
      </c>
      <c r="E36" s="68" t="s">
        <v>876</v>
      </c>
      <c r="F36" s="94" t="s">
        <v>823</v>
      </c>
      <c r="G36" s="68" t="s">
        <v>174</v>
      </c>
      <c r="H36" s="140" t="s">
        <v>461</v>
      </c>
      <c r="I36" t="str">
        <f>VLOOKUP(F36,Registrations!G:N,6,0)</f>
        <v>IISc Bangalore</v>
      </c>
      <c r="J36" t="str">
        <f t="shared" si="0"/>
        <v>Yes</v>
      </c>
    </row>
    <row r="37" spans="1:10" ht="39">
      <c r="A37" s="65">
        <v>80</v>
      </c>
      <c r="B37" s="66" t="s">
        <v>1054</v>
      </c>
      <c r="C37" s="65" t="s">
        <v>974</v>
      </c>
      <c r="D37" s="67" t="s">
        <v>937</v>
      </c>
      <c r="E37" s="68" t="s">
        <v>876</v>
      </c>
      <c r="F37" s="91" t="s">
        <v>1055</v>
      </c>
      <c r="G37" s="68" t="s">
        <v>174</v>
      </c>
      <c r="H37" s="73" t="s">
        <v>461</v>
      </c>
      <c r="I37" t="e">
        <f>VLOOKUP(F37,Registrations!G:N,6,0)</f>
        <v>#N/A</v>
      </c>
      <c r="J37" t="e">
        <f t="shared" si="0"/>
        <v>#N/A</v>
      </c>
    </row>
    <row r="38" spans="1:10" ht="65">
      <c r="A38" s="65">
        <v>81</v>
      </c>
      <c r="B38" s="66" t="s">
        <v>1056</v>
      </c>
      <c r="C38" s="65" t="s">
        <v>1018</v>
      </c>
      <c r="D38" s="67" t="s">
        <v>891</v>
      </c>
      <c r="E38" s="68" t="s">
        <v>876</v>
      </c>
      <c r="F38" s="80" t="s">
        <v>795</v>
      </c>
      <c r="G38" s="68" t="s">
        <v>174</v>
      </c>
      <c r="H38" s="144" t="s">
        <v>202</v>
      </c>
      <c r="I38" t="str">
        <f>VLOOKUP(F38,Registrations!G:N,6,0)</f>
        <v>IISc Bangalore</v>
      </c>
      <c r="J38" t="str">
        <f t="shared" si="0"/>
        <v>Yes</v>
      </c>
    </row>
    <row r="39" spans="1:10" ht="39">
      <c r="A39" s="65">
        <v>90</v>
      </c>
      <c r="B39" s="66" t="s">
        <v>1074</v>
      </c>
      <c r="C39" s="65" t="s">
        <v>1075</v>
      </c>
      <c r="D39" s="67" t="s">
        <v>1076</v>
      </c>
      <c r="E39" s="68" t="s">
        <v>876</v>
      </c>
      <c r="F39" s="92" t="s">
        <v>1077</v>
      </c>
      <c r="G39" s="68" t="s">
        <v>174</v>
      </c>
      <c r="H39" s="144" t="s">
        <v>772</v>
      </c>
      <c r="I39" t="e">
        <f>VLOOKUP(F39,Registrations!G:N,6,0)</f>
        <v>#N/A</v>
      </c>
      <c r="J39" t="e">
        <f t="shared" si="0"/>
        <v>#N/A</v>
      </c>
    </row>
    <row r="40" spans="1:10" ht="78">
      <c r="A40" s="65">
        <v>92</v>
      </c>
      <c r="B40" s="66" t="s">
        <v>1080</v>
      </c>
      <c r="C40" s="65" t="s">
        <v>1063</v>
      </c>
      <c r="D40" s="67" t="s">
        <v>1076</v>
      </c>
      <c r="E40" s="68" t="s">
        <v>876</v>
      </c>
      <c r="F40" s="72" t="s">
        <v>583</v>
      </c>
      <c r="G40" s="68" t="s">
        <v>174</v>
      </c>
      <c r="H40" s="84" t="s">
        <v>787</v>
      </c>
      <c r="I40" t="str">
        <f>VLOOKUP(F40,Registrations!G:N,6,0)</f>
        <v>IISc Bangalore</v>
      </c>
      <c r="J40" t="str">
        <f t="shared" si="0"/>
        <v>Yes</v>
      </c>
    </row>
    <row r="41" spans="1:10" ht="39">
      <c r="A41" s="65">
        <v>93</v>
      </c>
      <c r="B41" s="66" t="s">
        <v>1081</v>
      </c>
      <c r="C41" s="65" t="s">
        <v>1063</v>
      </c>
      <c r="D41" s="67" t="s">
        <v>1076</v>
      </c>
      <c r="E41" s="68" t="s">
        <v>876</v>
      </c>
      <c r="F41" s="92" t="s">
        <v>618</v>
      </c>
      <c r="G41" s="68" t="s">
        <v>174</v>
      </c>
      <c r="H41" s="71" t="s">
        <v>772</v>
      </c>
      <c r="I41" t="str">
        <f>VLOOKUP(F41,Registrations!G:N,6,0)</f>
        <v>IISc Bangalore</v>
      </c>
      <c r="J41" t="str">
        <f t="shared" si="0"/>
        <v>Yes</v>
      </c>
    </row>
    <row r="42" spans="1:10" ht="65">
      <c r="A42" s="65">
        <v>94</v>
      </c>
      <c r="B42" s="66" t="s">
        <v>56</v>
      </c>
      <c r="C42" s="65" t="s">
        <v>873</v>
      </c>
      <c r="D42" s="67" t="s">
        <v>402</v>
      </c>
      <c r="E42" s="68" t="s">
        <v>921</v>
      </c>
      <c r="F42" s="136" t="s">
        <v>1082</v>
      </c>
      <c r="G42" s="75" t="s">
        <v>174</v>
      </c>
      <c r="H42" s="68" t="s">
        <v>202</v>
      </c>
      <c r="I42" t="e">
        <f>VLOOKUP(F42,Registrations!G:N,6,0)</f>
        <v>#N/A</v>
      </c>
      <c r="J42" t="e">
        <f t="shared" si="0"/>
        <v>#N/A</v>
      </c>
    </row>
    <row r="43" spans="1:10" ht="52">
      <c r="A43" s="65">
        <v>96</v>
      </c>
      <c r="B43" s="66" t="s">
        <v>1085</v>
      </c>
      <c r="C43" s="65" t="s">
        <v>881</v>
      </c>
      <c r="D43" s="67" t="s">
        <v>891</v>
      </c>
      <c r="E43" s="68" t="s">
        <v>876</v>
      </c>
      <c r="F43" s="127" t="s">
        <v>799</v>
      </c>
      <c r="G43" s="75" t="s">
        <v>174</v>
      </c>
      <c r="H43" s="97" t="s">
        <v>408</v>
      </c>
      <c r="I43" t="str">
        <f>VLOOKUP(F43,Registrations!G:N,6,0)</f>
        <v>IISc Bangalore</v>
      </c>
      <c r="J43" t="str">
        <f t="shared" si="0"/>
        <v>Yes</v>
      </c>
    </row>
    <row r="44" spans="1:10" ht="78">
      <c r="A44" s="65">
        <v>101</v>
      </c>
      <c r="B44" s="66" t="s">
        <v>1092</v>
      </c>
      <c r="C44" s="65" t="s">
        <v>1093</v>
      </c>
      <c r="D44" s="67" t="s">
        <v>1094</v>
      </c>
      <c r="E44" s="68" t="s">
        <v>876</v>
      </c>
      <c r="F44" s="94" t="s">
        <v>1095</v>
      </c>
      <c r="G44" s="68" t="s">
        <v>174</v>
      </c>
      <c r="H44" s="73" t="s">
        <v>787</v>
      </c>
      <c r="I44" t="e">
        <f>VLOOKUP(F44,Registrations!G:N,6,0)</f>
        <v>#N/A</v>
      </c>
      <c r="J44" t="e">
        <f t="shared" si="0"/>
        <v>#N/A</v>
      </c>
    </row>
    <row r="45" spans="1:10" ht="65">
      <c r="A45" s="65">
        <v>102</v>
      </c>
      <c r="B45" s="87" t="s">
        <v>1096</v>
      </c>
      <c r="C45" s="65" t="s">
        <v>873</v>
      </c>
      <c r="D45" s="67" t="s">
        <v>402</v>
      </c>
      <c r="E45" s="68" t="s">
        <v>876</v>
      </c>
      <c r="F45" s="80" t="s">
        <v>384</v>
      </c>
      <c r="G45" s="68" t="s">
        <v>174</v>
      </c>
      <c r="H45" s="141" t="s">
        <v>202</v>
      </c>
      <c r="I45" t="str">
        <f>VLOOKUP(F45,Registrations!G:N,6,0)</f>
        <v>IISc Bangalore</v>
      </c>
      <c r="J45" t="str">
        <f t="shared" si="0"/>
        <v>Yes</v>
      </c>
    </row>
    <row r="46" spans="1:10" ht="26">
      <c r="A46" s="65">
        <v>104</v>
      </c>
      <c r="B46" s="66" t="s">
        <v>1099</v>
      </c>
      <c r="C46" s="65" t="s">
        <v>1100</v>
      </c>
      <c r="D46" s="67" t="s">
        <v>879</v>
      </c>
      <c r="E46" s="68" t="s">
        <v>876</v>
      </c>
      <c r="F46" s="72" t="s">
        <v>737</v>
      </c>
      <c r="G46" s="68" t="s">
        <v>174</v>
      </c>
      <c r="H46" s="71" t="s">
        <v>772</v>
      </c>
      <c r="I46">
        <f>VLOOKUP(F46,Registrations!G:N,6,0)</f>
        <v>0</v>
      </c>
      <c r="J46" t="str">
        <f t="shared" si="0"/>
        <v>Yes</v>
      </c>
    </row>
    <row r="47" spans="1:10" ht="65">
      <c r="A47" s="65">
        <v>106</v>
      </c>
      <c r="B47" s="66" t="s">
        <v>1102</v>
      </c>
      <c r="C47" s="65" t="s">
        <v>873</v>
      </c>
      <c r="D47" s="67" t="s">
        <v>874</v>
      </c>
      <c r="E47" s="68" t="s">
        <v>974</v>
      </c>
      <c r="F47" s="134" t="s">
        <v>525</v>
      </c>
      <c r="G47" s="68" t="s">
        <v>174</v>
      </c>
      <c r="H47" s="68" t="s">
        <v>202</v>
      </c>
      <c r="I47" t="str">
        <f>VLOOKUP(F47,Registrations!G:N,6,0)</f>
        <v>IISc Bangalore</v>
      </c>
      <c r="J47" t="str">
        <f t="shared" si="0"/>
        <v>Yes</v>
      </c>
    </row>
    <row r="48" spans="1:10" ht="65.5" thickBot="1">
      <c r="A48" s="65">
        <v>107</v>
      </c>
      <c r="B48" s="66" t="s">
        <v>1103</v>
      </c>
      <c r="C48" s="65" t="s">
        <v>896</v>
      </c>
      <c r="D48" s="67" t="s">
        <v>891</v>
      </c>
      <c r="E48" s="68" t="s">
        <v>876</v>
      </c>
      <c r="F48" s="127" t="s">
        <v>1104</v>
      </c>
      <c r="G48" s="75" t="s">
        <v>174</v>
      </c>
      <c r="H48" s="129" t="s">
        <v>202</v>
      </c>
      <c r="I48" t="e">
        <f>VLOOKUP(F48,Registrations!G:N,6,0)</f>
        <v>#N/A</v>
      </c>
      <c r="J48" t="e">
        <f t="shared" si="0"/>
        <v>#N/A</v>
      </c>
    </row>
    <row r="49" spans="1:10" ht="78.5" thickBot="1">
      <c r="A49" s="65">
        <v>109</v>
      </c>
      <c r="B49" s="66" t="s">
        <v>1107</v>
      </c>
      <c r="C49" s="65" t="s">
        <v>1108</v>
      </c>
      <c r="D49" s="67" t="s">
        <v>879</v>
      </c>
      <c r="E49" s="68" t="s">
        <v>921</v>
      </c>
      <c r="F49" s="137" t="s">
        <v>733</v>
      </c>
      <c r="G49" s="139" t="s">
        <v>174</v>
      </c>
      <c r="H49" s="89" t="s">
        <v>787</v>
      </c>
      <c r="I49" t="str">
        <f>VLOOKUP(F49,Registrations!G:N,6,0)</f>
        <v>IISc Bangalore</v>
      </c>
      <c r="J49" t="str">
        <f t="shared" si="0"/>
        <v>Yes</v>
      </c>
    </row>
    <row r="50" spans="1:10" ht="39">
      <c r="A50" s="65">
        <v>110</v>
      </c>
      <c r="B50" s="66" t="s">
        <v>1109</v>
      </c>
      <c r="C50" s="65" t="s">
        <v>1108</v>
      </c>
      <c r="D50" s="67" t="s">
        <v>879</v>
      </c>
      <c r="E50" s="68" t="s">
        <v>876</v>
      </c>
      <c r="F50" s="126" t="s">
        <v>827</v>
      </c>
      <c r="G50" s="129" t="s">
        <v>174</v>
      </c>
      <c r="H50" s="90" t="s">
        <v>461</v>
      </c>
      <c r="I50" t="str">
        <f>VLOOKUP(F50,Registrations!G:N,6,0)</f>
        <v>IISc Bangalore</v>
      </c>
      <c r="J50" t="str">
        <f t="shared" si="0"/>
        <v>Yes</v>
      </c>
    </row>
    <row r="51" spans="1:10" ht="65">
      <c r="A51" s="65">
        <v>111</v>
      </c>
      <c r="B51" s="66" t="s">
        <v>1110</v>
      </c>
      <c r="C51" s="65" t="s">
        <v>1018</v>
      </c>
      <c r="D51" s="67" t="s">
        <v>891</v>
      </c>
      <c r="E51" s="68" t="s">
        <v>876</v>
      </c>
      <c r="F51" s="95" t="s">
        <v>811</v>
      </c>
      <c r="G51" s="71" t="s">
        <v>174</v>
      </c>
      <c r="H51" s="68" t="s">
        <v>202</v>
      </c>
      <c r="I51" t="str">
        <f>VLOOKUP(F51,Registrations!G:N,6,0)</f>
        <v>IISc Bangalore</v>
      </c>
      <c r="J51" t="str">
        <f t="shared" si="0"/>
        <v>Yes</v>
      </c>
    </row>
    <row r="52" spans="1:10" ht="65">
      <c r="A52" s="81">
        <v>113</v>
      </c>
      <c r="B52" s="82" t="s">
        <v>1113</v>
      </c>
      <c r="C52" s="81" t="s">
        <v>873</v>
      </c>
      <c r="D52" s="83" t="s">
        <v>387</v>
      </c>
      <c r="E52" s="69" t="s">
        <v>876</v>
      </c>
      <c r="F52" s="130" t="s">
        <v>1114</v>
      </c>
      <c r="G52" s="69" t="s">
        <v>174</v>
      </c>
      <c r="H52" s="88" t="s">
        <v>202</v>
      </c>
      <c r="I52" t="e">
        <f>VLOOKUP(F52,Registrations!G:N,6,0)</f>
        <v>#N/A</v>
      </c>
      <c r="J52" t="e">
        <f t="shared" si="0"/>
        <v>#N/A</v>
      </c>
    </row>
    <row r="53" spans="1:10" ht="26">
      <c r="A53" s="65">
        <v>118</v>
      </c>
      <c r="B53" s="66" t="s">
        <v>1126</v>
      </c>
      <c r="C53" s="65" t="s">
        <v>881</v>
      </c>
      <c r="D53" s="67" t="s">
        <v>879</v>
      </c>
      <c r="E53" s="68" t="s">
        <v>876</v>
      </c>
      <c r="F53" s="80" t="s">
        <v>728</v>
      </c>
      <c r="G53" s="68" t="s">
        <v>174</v>
      </c>
      <c r="H53" s="71" t="s">
        <v>772</v>
      </c>
      <c r="I53" t="str">
        <f>VLOOKUP(F53,Registrations!G:N,6,0)</f>
        <v>IISc Bangalore</v>
      </c>
      <c r="J53" t="str">
        <f t="shared" si="0"/>
        <v>Yes</v>
      </c>
    </row>
    <row r="54" spans="1:10" ht="52">
      <c r="A54" s="65">
        <v>121</v>
      </c>
      <c r="B54" s="66" t="s">
        <v>1131</v>
      </c>
      <c r="C54" s="65" t="s">
        <v>1132</v>
      </c>
      <c r="D54" s="67" t="s">
        <v>879</v>
      </c>
      <c r="E54" s="68" t="s">
        <v>876</v>
      </c>
      <c r="F54" s="80" t="s">
        <v>803</v>
      </c>
      <c r="G54" s="68" t="s">
        <v>174</v>
      </c>
      <c r="H54" s="68" t="s">
        <v>772</v>
      </c>
      <c r="I54" t="str">
        <f>VLOOKUP(F54,Registrations!G:N,6,0)</f>
        <v>IISc Bangalore</v>
      </c>
      <c r="J54" t="str">
        <f t="shared" si="0"/>
        <v>Yes</v>
      </c>
    </row>
    <row r="55" spans="1:10" ht="65">
      <c r="A55" s="65">
        <v>123</v>
      </c>
      <c r="B55" s="66" t="s">
        <v>1134</v>
      </c>
      <c r="C55" s="65" t="s">
        <v>885</v>
      </c>
      <c r="D55" s="67" t="s">
        <v>402</v>
      </c>
      <c r="E55" s="68" t="s">
        <v>876</v>
      </c>
      <c r="F55" s="72" t="s">
        <v>579</v>
      </c>
      <c r="G55" s="68" t="s">
        <v>174</v>
      </c>
      <c r="H55" s="144" t="s">
        <v>202</v>
      </c>
      <c r="I55" t="str">
        <f>VLOOKUP(F55,Registrations!G:N,6,0)</f>
        <v>IISc Bangalore</v>
      </c>
      <c r="J55" t="str">
        <f t="shared" si="0"/>
        <v>Yes</v>
      </c>
    </row>
    <row r="56" spans="1:10" ht="26">
      <c r="A56" s="65">
        <v>129</v>
      </c>
      <c r="B56" s="66" t="s">
        <v>1146</v>
      </c>
      <c r="C56" s="65" t="s">
        <v>873</v>
      </c>
      <c r="D56" s="67" t="s">
        <v>1039</v>
      </c>
      <c r="E56" s="68" t="s">
        <v>876</v>
      </c>
      <c r="F56" s="69" t="s">
        <v>780</v>
      </c>
      <c r="G56" s="68" t="s">
        <v>174</v>
      </c>
      <c r="H56" s="144" t="s">
        <v>772</v>
      </c>
      <c r="I56" t="str">
        <f>VLOOKUP(F56,Registrations!G:N,6,0)</f>
        <v>IISc Bangalore</v>
      </c>
      <c r="J56" t="str">
        <f t="shared" si="0"/>
        <v>Yes</v>
      </c>
    </row>
    <row r="57" spans="1:10" ht="65">
      <c r="A57" s="81">
        <v>130</v>
      </c>
      <c r="B57" s="82" t="s">
        <v>1147</v>
      </c>
      <c r="C57" s="81" t="s">
        <v>885</v>
      </c>
      <c r="D57" s="83" t="s">
        <v>387</v>
      </c>
      <c r="E57" s="69" t="s">
        <v>876</v>
      </c>
      <c r="F57" s="130" t="s">
        <v>1217</v>
      </c>
      <c r="G57" s="69" t="s">
        <v>174</v>
      </c>
      <c r="H57" s="69" t="s">
        <v>202</v>
      </c>
      <c r="I57" t="e">
        <f>VLOOKUP(F57,Registrations!G:N,6,0)</f>
        <v>#N/A</v>
      </c>
      <c r="J57" t="e">
        <f t="shared" si="0"/>
        <v>#N/A</v>
      </c>
    </row>
    <row r="58" spans="1:10" ht="39">
      <c r="A58" s="65">
        <v>139</v>
      </c>
      <c r="B58" s="66" t="s">
        <v>1170</v>
      </c>
      <c r="C58" s="65" t="s">
        <v>887</v>
      </c>
      <c r="D58" s="67" t="s">
        <v>888</v>
      </c>
      <c r="E58" s="68" t="s">
        <v>876</v>
      </c>
      <c r="F58" s="69" t="s">
        <v>640</v>
      </c>
      <c r="G58" s="68" t="s">
        <v>174</v>
      </c>
      <c r="H58" s="70" t="s">
        <v>772</v>
      </c>
      <c r="I58" t="str">
        <f>VLOOKUP(F58,Registrations!G:N,6,0)</f>
        <v>IISc Bangalore</v>
      </c>
      <c r="J58" t="str">
        <f t="shared" si="0"/>
        <v>Yes</v>
      </c>
    </row>
    <row r="59" spans="1:10" ht="65">
      <c r="A59" s="65">
        <v>140</v>
      </c>
      <c r="B59" s="66" t="s">
        <v>1171</v>
      </c>
      <c r="C59" s="65" t="s">
        <v>1172</v>
      </c>
      <c r="D59" s="67" t="s">
        <v>1173</v>
      </c>
      <c r="E59" s="68" t="s">
        <v>876</v>
      </c>
      <c r="F59" s="92" t="s">
        <v>199</v>
      </c>
      <c r="G59" s="68" t="s">
        <v>174</v>
      </c>
      <c r="H59" s="71" t="s">
        <v>202</v>
      </c>
      <c r="I59" t="str">
        <f>VLOOKUP(F59,Registrations!G:N,6,0)</f>
        <v>IISc Bangalore</v>
      </c>
      <c r="J59" t="str">
        <f t="shared" si="0"/>
        <v>Yes</v>
      </c>
    </row>
    <row r="60" spans="1:10" ht="65">
      <c r="A60" s="65">
        <v>141</v>
      </c>
      <c r="B60" s="87" t="s">
        <v>1174</v>
      </c>
      <c r="C60" s="65" t="s">
        <v>1175</v>
      </c>
      <c r="D60" s="67" t="s">
        <v>402</v>
      </c>
      <c r="E60" s="68" t="s">
        <v>876</v>
      </c>
      <c r="F60" s="72" t="s">
        <v>1176</v>
      </c>
      <c r="G60" s="68" t="s">
        <v>174</v>
      </c>
      <c r="H60" s="69" t="s">
        <v>486</v>
      </c>
      <c r="I60" t="e">
        <f>VLOOKUP(F60,Registrations!G:N,6,0)</f>
        <v>#N/A</v>
      </c>
      <c r="J60" t="e">
        <f t="shared" si="0"/>
        <v>#N/A</v>
      </c>
    </row>
    <row r="61" spans="1:10" ht="39">
      <c r="A61" s="65">
        <v>146</v>
      </c>
      <c r="B61" s="66" t="s">
        <v>1184</v>
      </c>
      <c r="C61" s="65" t="s">
        <v>1185</v>
      </c>
      <c r="D61" s="67" t="s">
        <v>879</v>
      </c>
      <c r="E61" s="68" t="s">
        <v>921</v>
      </c>
      <c r="F61" s="72" t="s">
        <v>539</v>
      </c>
      <c r="G61" s="68" t="s">
        <v>174</v>
      </c>
      <c r="H61" s="70" t="s">
        <v>772</v>
      </c>
      <c r="I61" t="str">
        <f>VLOOKUP(F61,Registrations!G:N,6,0)</f>
        <v>IISc Bangalore</v>
      </c>
      <c r="J61" t="str">
        <f t="shared" si="0"/>
        <v>Yes</v>
      </c>
    </row>
    <row r="62" spans="1:10" ht="65">
      <c r="A62" s="65">
        <v>147</v>
      </c>
      <c r="B62" s="66" t="s">
        <v>1186</v>
      </c>
      <c r="C62" s="65" t="s">
        <v>1187</v>
      </c>
      <c r="D62" s="67" t="s">
        <v>1188</v>
      </c>
      <c r="E62" s="68" t="s">
        <v>876</v>
      </c>
      <c r="F62" s="72" t="s">
        <v>1189</v>
      </c>
      <c r="G62" s="68" t="s">
        <v>174</v>
      </c>
      <c r="H62" s="73" t="s">
        <v>486</v>
      </c>
      <c r="I62" t="e">
        <f>VLOOKUP(F62,Registrations!G:N,6,0)</f>
        <v>#N/A</v>
      </c>
      <c r="J62" t="e">
        <f t="shared" si="0"/>
        <v>#N/A</v>
      </c>
    </row>
    <row r="63" spans="1:10" ht="65">
      <c r="A63" s="65">
        <v>148</v>
      </c>
      <c r="B63" s="66" t="s">
        <v>1190</v>
      </c>
      <c r="C63" s="65" t="s">
        <v>896</v>
      </c>
      <c r="D63" s="67" t="s">
        <v>891</v>
      </c>
      <c r="E63" s="68" t="s">
        <v>876</v>
      </c>
      <c r="F63" s="72" t="s">
        <v>1191</v>
      </c>
      <c r="G63" s="68" t="s">
        <v>174</v>
      </c>
      <c r="H63" s="68" t="s">
        <v>202</v>
      </c>
      <c r="I63" t="e">
        <f>VLOOKUP(F63,Registrations!G:N,6,0)</f>
        <v>#N/A</v>
      </c>
      <c r="J63" t="e">
        <f t="shared" si="0"/>
        <v>#N/A</v>
      </c>
    </row>
    <row r="64" spans="1:10" ht="52">
      <c r="A64" s="65">
        <v>152</v>
      </c>
      <c r="B64" s="66" t="s">
        <v>1199</v>
      </c>
      <c r="C64" s="65" t="s">
        <v>881</v>
      </c>
      <c r="D64" s="67" t="s">
        <v>993</v>
      </c>
      <c r="E64" s="68" t="s">
        <v>876</v>
      </c>
      <c r="F64" s="72" t="s">
        <v>70</v>
      </c>
      <c r="G64" s="68" t="s">
        <v>174</v>
      </c>
      <c r="H64" s="79" t="s">
        <v>408</v>
      </c>
      <c r="I64" t="str">
        <f>VLOOKUP(F64,Registrations!G:N,6,0)</f>
        <v>IISc Bangalore</v>
      </c>
      <c r="J64" t="str">
        <f t="shared" si="0"/>
        <v>Yes</v>
      </c>
    </row>
    <row r="65" spans="1:10" ht="65">
      <c r="A65" s="81">
        <v>156</v>
      </c>
      <c r="B65" s="82" t="s">
        <v>1204</v>
      </c>
      <c r="C65" s="81" t="s">
        <v>873</v>
      </c>
      <c r="D65" s="83" t="s">
        <v>874</v>
      </c>
      <c r="E65" s="69" t="s">
        <v>876</v>
      </c>
      <c r="F65" s="130" t="s">
        <v>1205</v>
      </c>
      <c r="G65" s="69" t="s">
        <v>174</v>
      </c>
      <c r="H65" s="69" t="s">
        <v>202</v>
      </c>
      <c r="I65" t="e">
        <f>VLOOKUP(F65,Registrations!G:N,6,0)</f>
        <v>#N/A</v>
      </c>
      <c r="J65" t="e">
        <f t="shared" si="0"/>
        <v>#N/A</v>
      </c>
    </row>
    <row r="66" spans="1:10" ht="26">
      <c r="A66" s="65">
        <v>1</v>
      </c>
      <c r="B66" s="66" t="s">
        <v>872</v>
      </c>
      <c r="C66" s="65" t="s">
        <v>1213</v>
      </c>
      <c r="D66" s="67" t="s">
        <v>874</v>
      </c>
      <c r="E66" s="68" t="s">
        <v>876</v>
      </c>
      <c r="F66" s="69" t="s">
        <v>875</v>
      </c>
      <c r="G66" s="68" t="s">
        <v>144</v>
      </c>
      <c r="H66" s="68" t="s">
        <v>245</v>
      </c>
      <c r="I66" t="e">
        <f>VLOOKUP(F66,Registrations!G:N,6,0)</f>
        <v>#N/A</v>
      </c>
      <c r="J66" t="e">
        <f t="shared" si="0"/>
        <v>#N/A</v>
      </c>
    </row>
    <row r="67" spans="1:10" ht="26">
      <c r="A67" s="65">
        <v>2</v>
      </c>
      <c r="B67" s="66" t="s">
        <v>877</v>
      </c>
      <c r="C67" s="65" t="s">
        <v>1218</v>
      </c>
      <c r="D67" s="67" t="s">
        <v>879</v>
      </c>
      <c r="E67" s="68" t="s">
        <v>876</v>
      </c>
      <c r="F67" s="69" t="s">
        <v>480</v>
      </c>
      <c r="G67" s="68" t="s">
        <v>144</v>
      </c>
      <c r="H67" s="70" t="s">
        <v>245</v>
      </c>
      <c r="I67" t="str">
        <f>VLOOKUP(F67,Registrations!G:N,6,0)</f>
        <v>IIT Bombay</v>
      </c>
      <c r="J67" t="str">
        <f t="shared" ref="J67:J130" si="1">IF(I67="#NA","No", "Yes")</f>
        <v>Yes</v>
      </c>
    </row>
    <row r="68" spans="1:10" ht="26">
      <c r="A68" s="65">
        <v>4</v>
      </c>
      <c r="B68" s="66" t="s">
        <v>882</v>
      </c>
      <c r="C68" s="65" t="s">
        <v>1213</v>
      </c>
      <c r="D68" s="67" t="s">
        <v>874</v>
      </c>
      <c r="E68" s="68" t="s">
        <v>876</v>
      </c>
      <c r="F68" s="69" t="s">
        <v>883</v>
      </c>
      <c r="G68" s="68" t="s">
        <v>144</v>
      </c>
      <c r="H68" s="71" t="s">
        <v>245</v>
      </c>
      <c r="I68" t="e">
        <f>VLOOKUP(F68,Registrations!G:N,6,0)</f>
        <v>#N/A</v>
      </c>
      <c r="J68" t="e">
        <f t="shared" si="1"/>
        <v>#N/A</v>
      </c>
    </row>
    <row r="69" spans="1:10" ht="26">
      <c r="A69" s="65">
        <v>5</v>
      </c>
      <c r="B69" s="66" t="s">
        <v>884</v>
      </c>
      <c r="C69" s="65" t="s">
        <v>1219</v>
      </c>
      <c r="D69" s="67" t="s">
        <v>874</v>
      </c>
      <c r="E69" s="68" t="s">
        <v>876</v>
      </c>
      <c r="F69" s="69" t="s">
        <v>675</v>
      </c>
      <c r="G69" s="68" t="s">
        <v>144</v>
      </c>
      <c r="H69" s="68" t="s">
        <v>245</v>
      </c>
      <c r="I69" t="str">
        <f>VLOOKUP(F69,Registrations!G:N,6,0)</f>
        <v>IIT Bombay</v>
      </c>
      <c r="J69" t="str">
        <f t="shared" si="1"/>
        <v>Yes</v>
      </c>
    </row>
    <row r="70" spans="1:10" ht="39">
      <c r="A70" s="65">
        <v>12</v>
      </c>
      <c r="B70" s="66" t="s">
        <v>902</v>
      </c>
      <c r="C70" s="65" t="s">
        <v>1211</v>
      </c>
      <c r="D70" s="67" t="s">
        <v>894</v>
      </c>
      <c r="E70" s="68" t="s">
        <v>876</v>
      </c>
      <c r="F70" s="97" t="s">
        <v>903</v>
      </c>
      <c r="G70" s="75" t="s">
        <v>144</v>
      </c>
      <c r="H70" s="129" t="s">
        <v>238</v>
      </c>
      <c r="I70" t="e">
        <f>VLOOKUP(F70,Registrations!G:N,6,0)</f>
        <v>#N/A</v>
      </c>
      <c r="J70" t="e">
        <f t="shared" si="1"/>
        <v>#N/A</v>
      </c>
    </row>
    <row r="71" spans="1:10" ht="26">
      <c r="A71" s="65">
        <v>16</v>
      </c>
      <c r="B71" s="66" t="s">
        <v>915</v>
      </c>
      <c r="C71" s="65" t="s">
        <v>1211</v>
      </c>
      <c r="D71" s="67" t="s">
        <v>916</v>
      </c>
      <c r="E71" s="68" t="s">
        <v>876</v>
      </c>
      <c r="F71" s="97" t="s">
        <v>917</v>
      </c>
      <c r="G71" s="75" t="s">
        <v>144</v>
      </c>
      <c r="H71" s="71" t="s">
        <v>245</v>
      </c>
      <c r="I71" t="e">
        <f>VLOOKUP(F71,Registrations!G:N,6,0)</f>
        <v>#N/A</v>
      </c>
      <c r="J71" t="e">
        <f t="shared" si="1"/>
        <v>#N/A</v>
      </c>
    </row>
    <row r="72" spans="1:10" ht="26">
      <c r="A72" s="65">
        <v>19</v>
      </c>
      <c r="B72" s="66" t="s">
        <v>922</v>
      </c>
      <c r="C72" s="65" t="s">
        <v>1211</v>
      </c>
      <c r="D72" s="67" t="s">
        <v>348</v>
      </c>
      <c r="E72" s="68" t="s">
        <v>876</v>
      </c>
      <c r="F72" s="73" t="s">
        <v>280</v>
      </c>
      <c r="G72" s="68" t="s">
        <v>144</v>
      </c>
      <c r="H72" s="70" t="s">
        <v>245</v>
      </c>
      <c r="I72" t="str">
        <f>VLOOKUP(F72,Registrations!G:N,6,0)</f>
        <v>IIT Bombay</v>
      </c>
      <c r="J72" t="str">
        <f t="shared" si="1"/>
        <v>Yes</v>
      </c>
    </row>
    <row r="73" spans="1:10" ht="39">
      <c r="A73" s="65">
        <v>20</v>
      </c>
      <c r="B73" s="66" t="s">
        <v>923</v>
      </c>
      <c r="C73" s="65" t="s">
        <v>1211</v>
      </c>
      <c r="D73" s="67" t="s">
        <v>894</v>
      </c>
      <c r="E73" s="68" t="s">
        <v>876</v>
      </c>
      <c r="F73" s="69" t="s">
        <v>924</v>
      </c>
      <c r="G73" s="68" t="s">
        <v>144</v>
      </c>
      <c r="H73" s="71" t="s">
        <v>238</v>
      </c>
      <c r="I73" t="e">
        <f>VLOOKUP(F73,Registrations!G:N,6,0)</f>
        <v>#N/A</v>
      </c>
      <c r="J73" t="e">
        <f t="shared" si="1"/>
        <v>#N/A</v>
      </c>
    </row>
    <row r="74" spans="1:10" ht="39">
      <c r="A74" s="65">
        <v>25</v>
      </c>
      <c r="B74" s="66" t="s">
        <v>935</v>
      </c>
      <c r="C74" s="65" t="s">
        <v>1220</v>
      </c>
      <c r="D74" s="67" t="s">
        <v>937</v>
      </c>
      <c r="E74" s="68" t="s">
        <v>876</v>
      </c>
      <c r="F74" s="69" t="s">
        <v>450</v>
      </c>
      <c r="G74" s="68" t="s">
        <v>144</v>
      </c>
      <c r="H74" s="68" t="s">
        <v>245</v>
      </c>
      <c r="I74" t="str">
        <f>VLOOKUP(F74,Registrations!G:N,6,0)</f>
        <v>IIT Bombay</v>
      </c>
      <c r="J74" t="str">
        <f t="shared" si="1"/>
        <v>Yes</v>
      </c>
    </row>
    <row r="75" spans="1:10" ht="26">
      <c r="A75" s="65">
        <v>26</v>
      </c>
      <c r="B75" s="66" t="s">
        <v>938</v>
      </c>
      <c r="C75" s="65" t="s">
        <v>1213</v>
      </c>
      <c r="D75" s="67" t="s">
        <v>874</v>
      </c>
      <c r="E75" s="68" t="s">
        <v>876</v>
      </c>
      <c r="F75" s="97" t="s">
        <v>939</v>
      </c>
      <c r="G75" s="75" t="s">
        <v>144</v>
      </c>
      <c r="H75" s="68" t="s">
        <v>270</v>
      </c>
      <c r="I75" t="e">
        <f>VLOOKUP(F75,Registrations!G:N,6,0)</f>
        <v>#N/A</v>
      </c>
      <c r="J75" t="e">
        <f t="shared" si="1"/>
        <v>#N/A</v>
      </c>
    </row>
    <row r="76" spans="1:10" ht="26">
      <c r="A76" s="65">
        <v>27</v>
      </c>
      <c r="B76" s="66" t="s">
        <v>941</v>
      </c>
      <c r="C76" s="65" t="s">
        <v>1211</v>
      </c>
      <c r="D76" s="67" t="s">
        <v>387</v>
      </c>
      <c r="E76" s="68" t="s">
        <v>876</v>
      </c>
      <c r="F76" s="73" t="s">
        <v>389</v>
      </c>
      <c r="G76" s="68" t="s">
        <v>144</v>
      </c>
      <c r="H76" s="68" t="s">
        <v>270</v>
      </c>
      <c r="I76" t="str">
        <f>VLOOKUP(F76,Registrations!G:N,6,0)</f>
        <v>IIT Bombay</v>
      </c>
      <c r="J76" t="str">
        <f t="shared" si="1"/>
        <v>Yes</v>
      </c>
    </row>
    <row r="77" spans="1:10" ht="26">
      <c r="A77" s="65">
        <v>30</v>
      </c>
      <c r="B77" s="66" t="s">
        <v>948</v>
      </c>
      <c r="C77" s="65" t="s">
        <v>1213</v>
      </c>
      <c r="D77" s="67" t="s">
        <v>161</v>
      </c>
      <c r="E77" s="68" t="s">
        <v>921</v>
      </c>
      <c r="F77" s="68" t="s">
        <v>274</v>
      </c>
      <c r="G77" s="68" t="s">
        <v>144</v>
      </c>
      <c r="H77" s="70" t="s">
        <v>238</v>
      </c>
      <c r="I77" t="str">
        <f>VLOOKUP(F77,Registrations!G:N,6,0)</f>
        <v>IIT Bombay</v>
      </c>
      <c r="J77" t="str">
        <f t="shared" si="1"/>
        <v>Yes</v>
      </c>
    </row>
    <row r="78" spans="1:10" ht="26">
      <c r="A78" s="65">
        <v>33</v>
      </c>
      <c r="B78" s="66" t="s">
        <v>952</v>
      </c>
      <c r="C78" s="65" t="s">
        <v>1221</v>
      </c>
      <c r="D78" s="67" t="s">
        <v>954</v>
      </c>
      <c r="E78" s="68" t="s">
        <v>876</v>
      </c>
      <c r="F78" s="69" t="s">
        <v>955</v>
      </c>
      <c r="G78" s="68" t="s">
        <v>144</v>
      </c>
      <c r="H78" s="71" t="s">
        <v>270</v>
      </c>
      <c r="I78" t="e">
        <f>VLOOKUP(F78,Registrations!G:N,6,0)</f>
        <v>#N/A</v>
      </c>
      <c r="J78" t="e">
        <f t="shared" si="1"/>
        <v>#N/A</v>
      </c>
    </row>
    <row r="79" spans="1:10" ht="39">
      <c r="A79" s="65">
        <v>39</v>
      </c>
      <c r="B79" s="87" t="s">
        <v>969</v>
      </c>
      <c r="C79" s="65" t="s">
        <v>1211</v>
      </c>
      <c r="D79" s="67" t="s">
        <v>894</v>
      </c>
      <c r="E79" s="68" t="s">
        <v>876</v>
      </c>
      <c r="F79" s="69" t="s">
        <v>243</v>
      </c>
      <c r="G79" s="68" t="s">
        <v>144</v>
      </c>
      <c r="H79" s="68" t="s">
        <v>245</v>
      </c>
      <c r="I79" t="str">
        <f>VLOOKUP(F79,Registrations!G:N,6,0)</f>
        <v>IIT Bombay</v>
      </c>
      <c r="J79" t="str">
        <f t="shared" si="1"/>
        <v>Yes</v>
      </c>
    </row>
    <row r="80" spans="1:10" ht="26">
      <c r="A80" s="65">
        <v>43</v>
      </c>
      <c r="B80" s="66" t="s">
        <v>978</v>
      </c>
      <c r="C80" s="65" t="s">
        <v>1218</v>
      </c>
      <c r="D80" s="67" t="s">
        <v>879</v>
      </c>
      <c r="E80" s="68" t="s">
        <v>876</v>
      </c>
      <c r="F80" s="69" t="s">
        <v>495</v>
      </c>
      <c r="G80" s="68" t="s">
        <v>144</v>
      </c>
      <c r="H80" s="70" t="s">
        <v>245</v>
      </c>
      <c r="I80" t="str">
        <f>VLOOKUP(F80,Registrations!G:N,6,0)</f>
        <v>IIT Bombay</v>
      </c>
      <c r="J80" t="str">
        <f t="shared" si="1"/>
        <v>Yes</v>
      </c>
    </row>
    <row r="81" spans="1:10" ht="26">
      <c r="A81" s="65">
        <v>50</v>
      </c>
      <c r="B81" s="66" t="s">
        <v>994</v>
      </c>
      <c r="C81" s="65" t="s">
        <v>873</v>
      </c>
      <c r="D81" s="67" t="s">
        <v>874</v>
      </c>
      <c r="E81" s="68" t="s">
        <v>876</v>
      </c>
      <c r="F81" s="69" t="s">
        <v>379</v>
      </c>
      <c r="G81" s="68" t="s">
        <v>144</v>
      </c>
      <c r="H81" s="71" t="s">
        <v>245</v>
      </c>
      <c r="I81" t="str">
        <f>VLOOKUP(F81,Registrations!G:N,6,0)</f>
        <v>IIT Bombay</v>
      </c>
      <c r="J81" t="str">
        <f t="shared" si="1"/>
        <v>Yes</v>
      </c>
    </row>
    <row r="82" spans="1:10" ht="39">
      <c r="A82" s="65">
        <v>56</v>
      </c>
      <c r="B82" s="66" t="s">
        <v>1006</v>
      </c>
      <c r="C82" s="65" t="s">
        <v>881</v>
      </c>
      <c r="D82" s="67" t="s">
        <v>1007</v>
      </c>
      <c r="E82" s="68" t="s">
        <v>876</v>
      </c>
      <c r="F82" s="69" t="s">
        <v>290</v>
      </c>
      <c r="G82" s="68" t="s">
        <v>144</v>
      </c>
      <c r="H82" s="68" t="s">
        <v>245</v>
      </c>
      <c r="I82" t="str">
        <f>VLOOKUP(F82,Registrations!G:N,6,0)</f>
        <v>IIT Bombay</v>
      </c>
      <c r="J82" t="str">
        <f t="shared" si="1"/>
        <v>Yes</v>
      </c>
    </row>
    <row r="83" spans="1:10" ht="39">
      <c r="A83" s="65">
        <v>57</v>
      </c>
      <c r="B83" s="66" t="s">
        <v>1008</v>
      </c>
      <c r="C83" s="65" t="s">
        <v>893</v>
      </c>
      <c r="D83" s="67" t="s">
        <v>894</v>
      </c>
      <c r="E83" s="68" t="s">
        <v>876</v>
      </c>
      <c r="F83" s="69" t="s">
        <v>256</v>
      </c>
      <c r="G83" s="68" t="s">
        <v>144</v>
      </c>
      <c r="H83" s="68" t="s">
        <v>238</v>
      </c>
      <c r="I83" t="str">
        <f>VLOOKUP(F83,Registrations!G:N,6,0)</f>
        <v>IIT Bombay</v>
      </c>
      <c r="J83" t="str">
        <f t="shared" si="1"/>
        <v>Yes</v>
      </c>
    </row>
    <row r="84" spans="1:10" ht="26">
      <c r="A84" s="65">
        <v>62</v>
      </c>
      <c r="B84" s="66" t="s">
        <v>1020</v>
      </c>
      <c r="C84" s="65" t="s">
        <v>881</v>
      </c>
      <c r="D84" s="67" t="s">
        <v>1021</v>
      </c>
      <c r="E84" s="68" t="s">
        <v>876</v>
      </c>
      <c r="F84" s="69" t="s">
        <v>1022</v>
      </c>
      <c r="G84" s="68" t="s">
        <v>144</v>
      </c>
      <c r="H84" s="68" t="s">
        <v>245</v>
      </c>
      <c r="I84" t="e">
        <f>VLOOKUP(F84,Registrations!G:N,6,0)</f>
        <v>#N/A</v>
      </c>
      <c r="J84" t="e">
        <f t="shared" si="1"/>
        <v>#N/A</v>
      </c>
    </row>
    <row r="85" spans="1:10" ht="26">
      <c r="A85" s="65">
        <v>64</v>
      </c>
      <c r="B85" s="66" t="s">
        <v>1027</v>
      </c>
      <c r="C85" s="65" t="s">
        <v>873</v>
      </c>
      <c r="D85" s="67" t="s">
        <v>874</v>
      </c>
      <c r="E85" s="68" t="s">
        <v>876</v>
      </c>
      <c r="F85" s="69" t="s">
        <v>1028</v>
      </c>
      <c r="G85" s="68" t="s">
        <v>144</v>
      </c>
      <c r="H85" s="68" t="s">
        <v>245</v>
      </c>
      <c r="I85" t="e">
        <f>VLOOKUP(F85,Registrations!G:N,6,0)</f>
        <v>#N/A</v>
      </c>
      <c r="J85" t="e">
        <f t="shared" si="1"/>
        <v>#N/A</v>
      </c>
    </row>
    <row r="86" spans="1:10" ht="26">
      <c r="A86" s="65">
        <v>65</v>
      </c>
      <c r="B86" s="66" t="s">
        <v>1029</v>
      </c>
      <c r="C86" s="65" t="s">
        <v>873</v>
      </c>
      <c r="D86" s="67" t="s">
        <v>161</v>
      </c>
      <c r="E86" s="68" t="s">
        <v>876</v>
      </c>
      <c r="F86" s="69" t="s">
        <v>237</v>
      </c>
      <c r="G86" s="68" t="s">
        <v>144</v>
      </c>
      <c r="H86" s="68" t="s">
        <v>238</v>
      </c>
      <c r="I86" t="str">
        <f>VLOOKUP(F86,Registrations!G:N,6,0)</f>
        <v>IIT Bombay</v>
      </c>
      <c r="J86" t="str">
        <f t="shared" si="1"/>
        <v>Yes</v>
      </c>
    </row>
    <row r="87" spans="1:10" ht="39">
      <c r="A87" s="65">
        <v>66</v>
      </c>
      <c r="B87" s="66" t="s">
        <v>1030</v>
      </c>
      <c r="C87" s="65" t="s">
        <v>1031</v>
      </c>
      <c r="D87" s="67" t="s">
        <v>985</v>
      </c>
      <c r="E87" s="68" t="s">
        <v>876</v>
      </c>
      <c r="F87" s="69" t="s">
        <v>330</v>
      </c>
      <c r="G87" s="68" t="s">
        <v>144</v>
      </c>
      <c r="H87" s="68" t="s">
        <v>245</v>
      </c>
      <c r="I87" t="str">
        <f>VLOOKUP(F87,Registrations!G:N,6,0)</f>
        <v>IIT Bombay</v>
      </c>
      <c r="J87" t="str">
        <f t="shared" si="1"/>
        <v>Yes</v>
      </c>
    </row>
    <row r="88" spans="1:10" ht="26">
      <c r="A88" s="65">
        <v>68</v>
      </c>
      <c r="B88" s="66" t="s">
        <v>1034</v>
      </c>
      <c r="C88" s="65" t="s">
        <v>873</v>
      </c>
      <c r="D88" s="67" t="s">
        <v>971</v>
      </c>
      <c r="E88" s="68" t="s">
        <v>876</v>
      </c>
      <c r="F88" s="69" t="s">
        <v>1035</v>
      </c>
      <c r="G88" s="68" t="s">
        <v>144</v>
      </c>
      <c r="H88" s="68" t="s">
        <v>238</v>
      </c>
      <c r="I88" t="e">
        <f>VLOOKUP(F88,Registrations!G:N,6,0)</f>
        <v>#N/A</v>
      </c>
      <c r="J88" t="e">
        <f t="shared" si="1"/>
        <v>#N/A</v>
      </c>
    </row>
    <row r="89" spans="1:10" ht="39">
      <c r="A89" s="65">
        <v>71</v>
      </c>
      <c r="B89" s="66" t="s">
        <v>1041</v>
      </c>
      <c r="C89" s="65" t="s">
        <v>1042</v>
      </c>
      <c r="D89" s="67" t="s">
        <v>1043</v>
      </c>
      <c r="E89" s="68" t="s">
        <v>876</v>
      </c>
      <c r="F89" s="69" t="s">
        <v>250</v>
      </c>
      <c r="G89" s="68" t="s">
        <v>144</v>
      </c>
      <c r="H89" s="68" t="s">
        <v>238</v>
      </c>
      <c r="I89" t="str">
        <f>VLOOKUP(F89,Registrations!G:N,6,0)</f>
        <v>IIT Bombay</v>
      </c>
      <c r="J89" t="str">
        <f t="shared" si="1"/>
        <v>Yes</v>
      </c>
    </row>
    <row r="90" spans="1:10" ht="26">
      <c r="A90" s="65">
        <v>75</v>
      </c>
      <c r="B90" s="66" t="s">
        <v>1048</v>
      </c>
      <c r="C90" s="65" t="s">
        <v>887</v>
      </c>
      <c r="D90" s="67" t="s">
        <v>411</v>
      </c>
      <c r="E90" s="68" t="s">
        <v>876</v>
      </c>
      <c r="F90" s="69" t="s">
        <v>413</v>
      </c>
      <c r="G90" s="68" t="s">
        <v>144</v>
      </c>
      <c r="H90" s="70" t="s">
        <v>245</v>
      </c>
      <c r="I90" t="str">
        <f>VLOOKUP(F90,Registrations!G:N,6,0)</f>
        <v>IIT Bombay</v>
      </c>
      <c r="J90" t="str">
        <f t="shared" si="1"/>
        <v>Yes</v>
      </c>
    </row>
    <row r="91" spans="1:10" ht="26">
      <c r="A91" s="65">
        <v>76</v>
      </c>
      <c r="B91" s="66" t="s">
        <v>1049</v>
      </c>
      <c r="C91" s="65" t="s">
        <v>881</v>
      </c>
      <c r="D91" s="67" t="s">
        <v>874</v>
      </c>
      <c r="E91" s="68" t="s">
        <v>876</v>
      </c>
      <c r="F91" s="69" t="s">
        <v>268</v>
      </c>
      <c r="G91" s="68" t="s">
        <v>144</v>
      </c>
      <c r="H91" s="71" t="s">
        <v>270</v>
      </c>
      <c r="I91" t="str">
        <f>VLOOKUP(F91,Registrations!G:N,6,0)</f>
        <v>IIT Bombay</v>
      </c>
      <c r="J91" t="str">
        <f t="shared" si="1"/>
        <v>Yes</v>
      </c>
    </row>
    <row r="92" spans="1:10" ht="26">
      <c r="A92" s="65">
        <v>78</v>
      </c>
      <c r="B92" s="66" t="s">
        <v>1051</v>
      </c>
      <c r="C92" s="65" t="s">
        <v>881</v>
      </c>
      <c r="D92" s="67" t="s">
        <v>971</v>
      </c>
      <c r="E92" s="68" t="s">
        <v>876</v>
      </c>
      <c r="F92" s="69" t="s">
        <v>394</v>
      </c>
      <c r="G92" s="68" t="s">
        <v>144</v>
      </c>
      <c r="H92" s="70" t="s">
        <v>238</v>
      </c>
      <c r="I92" t="str">
        <f>VLOOKUP(F92,Registrations!G:N,6,0)</f>
        <v>IIT Bombay</v>
      </c>
      <c r="J92" t="str">
        <f t="shared" si="1"/>
        <v>Yes</v>
      </c>
    </row>
    <row r="93" spans="1:10" ht="39">
      <c r="A93" s="65">
        <v>79</v>
      </c>
      <c r="B93" s="66" t="s">
        <v>1052</v>
      </c>
      <c r="C93" s="65" t="s">
        <v>878</v>
      </c>
      <c r="D93" s="67" t="s">
        <v>879</v>
      </c>
      <c r="E93" s="68" t="s">
        <v>876</v>
      </c>
      <c r="F93" s="69" t="s">
        <v>1053</v>
      </c>
      <c r="G93" s="68" t="s">
        <v>144</v>
      </c>
      <c r="H93" s="71" t="s">
        <v>238</v>
      </c>
      <c r="I93" t="e">
        <f>VLOOKUP(F93,Registrations!G:N,6,0)</f>
        <v>#N/A</v>
      </c>
      <c r="J93" t="e">
        <f t="shared" si="1"/>
        <v>#N/A</v>
      </c>
    </row>
    <row r="94" spans="1:10" ht="26">
      <c r="A94" s="65">
        <v>82</v>
      </c>
      <c r="B94" s="66" t="s">
        <v>1057</v>
      </c>
      <c r="C94" s="65" t="s">
        <v>881</v>
      </c>
      <c r="D94" s="67" t="s">
        <v>387</v>
      </c>
      <c r="E94" s="68" t="s">
        <v>876</v>
      </c>
      <c r="F94" s="69" t="s">
        <v>324</v>
      </c>
      <c r="G94" s="68" t="s">
        <v>144</v>
      </c>
      <c r="H94" s="68" t="s">
        <v>270</v>
      </c>
      <c r="I94" t="str">
        <f>VLOOKUP(F94,Registrations!G:N,6,0)</f>
        <v>IIT Bombay</v>
      </c>
      <c r="J94" t="str">
        <f t="shared" si="1"/>
        <v>Yes</v>
      </c>
    </row>
    <row r="95" spans="1:10" ht="26">
      <c r="A95" s="65">
        <v>83</v>
      </c>
      <c r="B95" s="66" t="s">
        <v>1058</v>
      </c>
      <c r="C95" s="65" t="s">
        <v>873</v>
      </c>
      <c r="D95" s="67" t="s">
        <v>161</v>
      </c>
      <c r="E95" s="68" t="s">
        <v>876</v>
      </c>
      <c r="F95" s="69" t="s">
        <v>1059</v>
      </c>
      <c r="G95" s="68" t="s">
        <v>144</v>
      </c>
      <c r="H95" s="68" t="s">
        <v>238</v>
      </c>
      <c r="I95" t="e">
        <f>VLOOKUP(F95,Registrations!G:N,6,0)</f>
        <v>#N/A</v>
      </c>
      <c r="J95" t="e">
        <f t="shared" si="1"/>
        <v>#N/A</v>
      </c>
    </row>
    <row r="96" spans="1:10" ht="39">
      <c r="A96" s="65">
        <v>97</v>
      </c>
      <c r="B96" s="66" t="s">
        <v>1086</v>
      </c>
      <c r="C96" s="65" t="s">
        <v>878</v>
      </c>
      <c r="D96" s="67" t="s">
        <v>879</v>
      </c>
      <c r="E96" s="68" t="s">
        <v>876</v>
      </c>
      <c r="F96" s="69" t="s">
        <v>261</v>
      </c>
      <c r="G96" s="68" t="s">
        <v>144</v>
      </c>
      <c r="H96" s="141" t="s">
        <v>238</v>
      </c>
      <c r="I96" t="str">
        <f>VLOOKUP(F96,Registrations!G:N,6,0)</f>
        <v>IIT Bombay</v>
      </c>
      <c r="J96" t="str">
        <f t="shared" si="1"/>
        <v>Yes</v>
      </c>
    </row>
    <row r="97" spans="1:10" ht="26">
      <c r="A97" s="65">
        <v>99</v>
      </c>
      <c r="B97" s="66" t="s">
        <v>1090</v>
      </c>
      <c r="C97" s="65" t="s">
        <v>881</v>
      </c>
      <c r="D97" s="67" t="s">
        <v>874</v>
      </c>
      <c r="E97" s="68" t="s">
        <v>921</v>
      </c>
      <c r="F97" s="69" t="s">
        <v>575</v>
      </c>
      <c r="G97" s="68" t="s">
        <v>144</v>
      </c>
      <c r="H97" s="71" t="s">
        <v>270</v>
      </c>
      <c r="I97" t="str">
        <f>VLOOKUP(F97,Registrations!G:N,6,0)</f>
        <v>IIT Bombay</v>
      </c>
      <c r="J97" t="str">
        <f t="shared" si="1"/>
        <v>Yes</v>
      </c>
    </row>
    <row r="98" spans="1:10" ht="26">
      <c r="A98" s="65">
        <v>117</v>
      </c>
      <c r="B98" s="66" t="s">
        <v>1124</v>
      </c>
      <c r="C98" s="65" t="s">
        <v>881</v>
      </c>
      <c r="D98" s="67" t="s">
        <v>874</v>
      </c>
      <c r="E98" s="68" t="s">
        <v>876</v>
      </c>
      <c r="F98" s="69" t="s">
        <v>1125</v>
      </c>
      <c r="G98" s="68" t="s">
        <v>144</v>
      </c>
      <c r="H98" s="68" t="s">
        <v>270</v>
      </c>
      <c r="I98" t="e">
        <f>VLOOKUP(F98,Registrations!G:N,6,0)</f>
        <v>#N/A</v>
      </c>
      <c r="J98" t="e">
        <f t="shared" si="1"/>
        <v>#N/A</v>
      </c>
    </row>
    <row r="99" spans="1:10" ht="26">
      <c r="A99" s="65">
        <v>122</v>
      </c>
      <c r="B99" s="66" t="s">
        <v>1133</v>
      </c>
      <c r="C99" s="65" t="s">
        <v>913</v>
      </c>
      <c r="D99" s="67" t="s">
        <v>402</v>
      </c>
      <c r="E99" s="68" t="s">
        <v>876</v>
      </c>
      <c r="F99" s="136" t="s">
        <v>847</v>
      </c>
      <c r="G99" s="75" t="s">
        <v>144</v>
      </c>
      <c r="H99" s="129" t="s">
        <v>270</v>
      </c>
      <c r="I99" t="str">
        <f>VLOOKUP(F99,Registrations!G:N,6,0)</f>
        <v>IIT Bombay</v>
      </c>
      <c r="J99" t="str">
        <f t="shared" si="1"/>
        <v>Yes</v>
      </c>
    </row>
    <row r="100" spans="1:10" ht="26">
      <c r="A100" s="65">
        <v>126</v>
      </c>
      <c r="B100" s="66" t="s">
        <v>1140</v>
      </c>
      <c r="C100" s="65" t="s">
        <v>881</v>
      </c>
      <c r="D100" s="67" t="s">
        <v>971</v>
      </c>
      <c r="E100" s="68" t="s">
        <v>876</v>
      </c>
      <c r="F100" s="73" t="s">
        <v>1141</v>
      </c>
      <c r="G100" s="68" t="s">
        <v>144</v>
      </c>
      <c r="H100" s="71" t="s">
        <v>238</v>
      </c>
      <c r="I100" t="e">
        <f>VLOOKUP(F100,Registrations!G:N,6,0)</f>
        <v>#N/A</v>
      </c>
      <c r="J100" t="e">
        <f t="shared" si="1"/>
        <v>#N/A</v>
      </c>
    </row>
    <row r="101" spans="1:10" ht="52">
      <c r="A101" s="65">
        <v>133</v>
      </c>
      <c r="B101" s="66" t="s">
        <v>1153</v>
      </c>
      <c r="C101" s="65" t="s">
        <v>1154</v>
      </c>
      <c r="D101" s="67" t="s">
        <v>985</v>
      </c>
      <c r="E101" s="68" t="s">
        <v>876</v>
      </c>
      <c r="F101" s="69" t="s">
        <v>1155</v>
      </c>
      <c r="G101" s="68" t="s">
        <v>144</v>
      </c>
      <c r="H101" s="70" t="s">
        <v>238</v>
      </c>
      <c r="I101" t="e">
        <f>VLOOKUP(F101,Registrations!G:N,6,0)</f>
        <v>#N/A</v>
      </c>
      <c r="J101" t="e">
        <f t="shared" si="1"/>
        <v>#N/A</v>
      </c>
    </row>
    <row r="102" spans="1:10" ht="26">
      <c r="A102" s="65">
        <v>7</v>
      </c>
      <c r="B102" s="66" t="s">
        <v>890</v>
      </c>
      <c r="C102" s="65" t="s">
        <v>1211</v>
      </c>
      <c r="D102" s="67" t="s">
        <v>891</v>
      </c>
      <c r="E102" s="68" t="s">
        <v>876</v>
      </c>
      <c r="F102" s="93" t="s">
        <v>646</v>
      </c>
      <c r="G102" s="68" t="s">
        <v>209</v>
      </c>
      <c r="H102" s="133" t="s">
        <v>217</v>
      </c>
      <c r="I102" t="str">
        <f>VLOOKUP(F102,Registrations!G:N,6,0)</f>
        <v>IIT Delhi</v>
      </c>
      <c r="J102" t="str">
        <f t="shared" si="1"/>
        <v>Yes</v>
      </c>
    </row>
    <row r="103" spans="1:10" ht="87.5">
      <c r="A103" s="65">
        <v>10</v>
      </c>
      <c r="B103" s="66" t="s">
        <v>898</v>
      </c>
      <c r="C103" s="65" t="s">
        <v>1211</v>
      </c>
      <c r="D103" s="67" t="s">
        <v>161</v>
      </c>
      <c r="E103" s="68" t="s">
        <v>876</v>
      </c>
      <c r="F103" s="125" t="s">
        <v>899</v>
      </c>
      <c r="G103" s="68" t="s">
        <v>209</v>
      </c>
      <c r="H103" s="125" t="s">
        <v>210</v>
      </c>
      <c r="I103" t="e">
        <f>VLOOKUP(F103,Registrations!G:N,6,0)</f>
        <v>#N/A</v>
      </c>
      <c r="J103" t="e">
        <f t="shared" si="1"/>
        <v>#N/A</v>
      </c>
    </row>
    <row r="104" spans="1:10" ht="112.5">
      <c r="A104" s="65">
        <v>21</v>
      </c>
      <c r="B104" s="66" t="s">
        <v>925</v>
      </c>
      <c r="C104" s="65" t="s">
        <v>1211</v>
      </c>
      <c r="D104" s="67" t="s">
        <v>926</v>
      </c>
      <c r="E104" s="68" t="s">
        <v>876</v>
      </c>
      <c r="F104" s="74" t="s">
        <v>927</v>
      </c>
      <c r="G104" s="75" t="s">
        <v>209</v>
      </c>
      <c r="H104" s="76" t="s">
        <v>714</v>
      </c>
      <c r="I104" t="e">
        <f>VLOOKUP(F104,Registrations!G:N,6,0)</f>
        <v>#N/A</v>
      </c>
      <c r="J104" t="e">
        <f t="shared" si="1"/>
        <v>#N/A</v>
      </c>
    </row>
    <row r="105" spans="1:10" ht="26">
      <c r="A105" s="65">
        <v>34</v>
      </c>
      <c r="B105" s="66" t="s">
        <v>956</v>
      </c>
      <c r="C105" s="65" t="s">
        <v>1222</v>
      </c>
      <c r="D105" s="67" t="s">
        <v>930</v>
      </c>
      <c r="E105" s="68" t="s">
        <v>876</v>
      </c>
      <c r="F105" s="128" t="s">
        <v>958</v>
      </c>
      <c r="G105" s="68" t="s">
        <v>209</v>
      </c>
      <c r="H105" s="133" t="s">
        <v>217</v>
      </c>
      <c r="I105" t="e">
        <f>VLOOKUP(F105,Registrations!G:N,6,0)</f>
        <v>#N/A</v>
      </c>
      <c r="J105" t="e">
        <f t="shared" si="1"/>
        <v>#N/A</v>
      </c>
    </row>
    <row r="106" spans="1:10" ht="88" thickBot="1">
      <c r="A106" s="65">
        <v>42</v>
      </c>
      <c r="B106" s="66" t="s">
        <v>975</v>
      </c>
      <c r="C106" s="65" t="s">
        <v>1223</v>
      </c>
      <c r="D106" s="67" t="s">
        <v>930</v>
      </c>
      <c r="E106" s="68" t="s">
        <v>876</v>
      </c>
      <c r="F106" s="74" t="s">
        <v>977</v>
      </c>
      <c r="G106" s="75" t="s">
        <v>209</v>
      </c>
      <c r="H106" s="76" t="s">
        <v>210</v>
      </c>
      <c r="I106" t="e">
        <f>VLOOKUP(F106,Registrations!G:N,6,0)</f>
        <v>#N/A</v>
      </c>
      <c r="J106" t="e">
        <f t="shared" si="1"/>
        <v>#N/A</v>
      </c>
    </row>
    <row r="107" spans="1:10" ht="26.5" thickBot="1">
      <c r="A107" s="65">
        <v>47</v>
      </c>
      <c r="B107" s="66" t="s">
        <v>987</v>
      </c>
      <c r="C107" s="65" t="s">
        <v>881</v>
      </c>
      <c r="D107" s="67" t="s">
        <v>891</v>
      </c>
      <c r="E107" s="68" t="s">
        <v>876</v>
      </c>
      <c r="F107" s="131" t="s">
        <v>988</v>
      </c>
      <c r="G107" s="75" t="s">
        <v>209</v>
      </c>
      <c r="H107" s="133" t="s">
        <v>217</v>
      </c>
      <c r="I107" t="e">
        <f>VLOOKUP(F107,Registrations!G:N,6,0)</f>
        <v>#N/A</v>
      </c>
      <c r="J107" t="e">
        <f t="shared" si="1"/>
        <v>#N/A</v>
      </c>
    </row>
    <row r="108" spans="1:10" ht="87.5">
      <c r="A108" s="65">
        <v>69</v>
      </c>
      <c r="B108" s="66" t="s">
        <v>1036</v>
      </c>
      <c r="C108" s="65" t="s">
        <v>881</v>
      </c>
      <c r="D108" s="67" t="s">
        <v>874</v>
      </c>
      <c r="E108" s="68" t="s">
        <v>876</v>
      </c>
      <c r="F108" s="133" t="s">
        <v>1037</v>
      </c>
      <c r="G108" s="68" t="s">
        <v>209</v>
      </c>
      <c r="H108" s="125" t="s">
        <v>210</v>
      </c>
      <c r="I108">
        <f>VLOOKUP(F108,Registrations!G:N,6,0)</f>
        <v>0</v>
      </c>
      <c r="J108" t="str">
        <f t="shared" si="1"/>
        <v>Yes</v>
      </c>
    </row>
    <row r="109" spans="1:10" ht="87.5">
      <c r="A109" s="65">
        <v>98</v>
      </c>
      <c r="B109" s="66" t="s">
        <v>1087</v>
      </c>
      <c r="C109" s="65" t="s">
        <v>1088</v>
      </c>
      <c r="D109" s="67" t="s">
        <v>161</v>
      </c>
      <c r="E109" s="68" t="s">
        <v>876</v>
      </c>
      <c r="F109" s="74" t="s">
        <v>1089</v>
      </c>
      <c r="G109" s="75" t="s">
        <v>209</v>
      </c>
      <c r="H109" s="76" t="s">
        <v>302</v>
      </c>
      <c r="I109" t="e">
        <f>VLOOKUP(F109,Registrations!G:N,6,0)</f>
        <v>#N/A</v>
      </c>
      <c r="J109" t="e">
        <f t="shared" si="1"/>
        <v>#N/A</v>
      </c>
    </row>
    <row r="110" spans="1:10" ht="112.5">
      <c r="A110" s="65">
        <v>103</v>
      </c>
      <c r="B110" s="66" t="s">
        <v>1097</v>
      </c>
      <c r="C110" s="65" t="s">
        <v>966</v>
      </c>
      <c r="D110" s="67" t="s">
        <v>402</v>
      </c>
      <c r="E110" s="68" t="s">
        <v>876</v>
      </c>
      <c r="F110" s="128" t="s">
        <v>1098</v>
      </c>
      <c r="G110" s="68" t="s">
        <v>209</v>
      </c>
      <c r="H110" s="133" t="s">
        <v>714</v>
      </c>
      <c r="I110" t="e">
        <f>VLOOKUP(F110,Registrations!G:N,6,0)</f>
        <v>#N/A</v>
      </c>
      <c r="J110" t="e">
        <f t="shared" si="1"/>
        <v>#N/A</v>
      </c>
    </row>
    <row r="111" spans="1:10" ht="87.5">
      <c r="A111" s="65">
        <v>105</v>
      </c>
      <c r="B111" s="66" t="s">
        <v>1101</v>
      </c>
      <c r="C111" s="65" t="s">
        <v>881</v>
      </c>
      <c r="D111" s="67" t="s">
        <v>993</v>
      </c>
      <c r="E111" s="68" t="s">
        <v>876</v>
      </c>
      <c r="F111" s="93" t="s">
        <v>301</v>
      </c>
      <c r="G111" s="68" t="s">
        <v>209</v>
      </c>
      <c r="H111" s="125" t="s">
        <v>302</v>
      </c>
      <c r="I111" t="str">
        <f>VLOOKUP(F111,Registrations!G:N,6,0)</f>
        <v>IIT Delhi</v>
      </c>
      <c r="J111" t="str">
        <f t="shared" si="1"/>
        <v>Yes</v>
      </c>
    </row>
    <row r="112" spans="1:10" ht="87.5">
      <c r="A112" s="65">
        <v>108</v>
      </c>
      <c r="B112" s="66" t="s">
        <v>1105</v>
      </c>
      <c r="C112" s="65" t="s">
        <v>873</v>
      </c>
      <c r="D112" s="67" t="s">
        <v>161</v>
      </c>
      <c r="E112" s="68" t="s">
        <v>876</v>
      </c>
      <c r="F112" s="125" t="s">
        <v>1106</v>
      </c>
      <c r="G112" s="68" t="s">
        <v>209</v>
      </c>
      <c r="H112" s="125" t="s">
        <v>302</v>
      </c>
      <c r="I112" t="e">
        <f>VLOOKUP(F112,Registrations!G:N,6,0)</f>
        <v>#N/A</v>
      </c>
      <c r="J112" t="e">
        <f t="shared" si="1"/>
        <v>#N/A</v>
      </c>
    </row>
    <row r="113" spans="1:10" ht="113" thickBot="1">
      <c r="A113" s="65">
        <v>114</v>
      </c>
      <c r="B113" s="66" t="s">
        <v>1115</v>
      </c>
      <c r="C113" s="65" t="s">
        <v>1116</v>
      </c>
      <c r="D113" s="67" t="s">
        <v>402</v>
      </c>
      <c r="E113" s="68" t="s">
        <v>876</v>
      </c>
      <c r="F113" s="74" t="s">
        <v>1117</v>
      </c>
      <c r="G113" s="75" t="s">
        <v>209</v>
      </c>
      <c r="H113" s="125" t="s">
        <v>714</v>
      </c>
      <c r="I113" t="e">
        <f>VLOOKUP(F113,Registrations!G:N,6,0)</f>
        <v>#N/A</v>
      </c>
      <c r="J113" t="e">
        <f t="shared" si="1"/>
        <v>#N/A</v>
      </c>
    </row>
    <row r="114" spans="1:10" ht="117.5" thickBot="1">
      <c r="A114" s="65">
        <v>115</v>
      </c>
      <c r="B114" s="66" t="s">
        <v>1118</v>
      </c>
      <c r="C114" s="65" t="s">
        <v>873</v>
      </c>
      <c r="D114" s="67" t="s">
        <v>161</v>
      </c>
      <c r="E114" s="68" t="s">
        <v>876</v>
      </c>
      <c r="F114" s="131" t="s">
        <v>1119</v>
      </c>
      <c r="G114" s="75" t="s">
        <v>209</v>
      </c>
      <c r="H114" s="68" t="s">
        <v>1120</v>
      </c>
      <c r="I114" t="e">
        <f>VLOOKUP(F114,Registrations!G:N,6,0)</f>
        <v>#N/A</v>
      </c>
      <c r="J114" t="e">
        <f t="shared" si="1"/>
        <v>#N/A</v>
      </c>
    </row>
    <row r="115" spans="1:10" ht="87.5">
      <c r="A115" s="65">
        <v>116</v>
      </c>
      <c r="B115" s="66" t="s">
        <v>1121</v>
      </c>
      <c r="C115" s="65" t="s">
        <v>1122</v>
      </c>
      <c r="D115" s="67" t="s">
        <v>161</v>
      </c>
      <c r="E115" s="68" t="s">
        <v>974</v>
      </c>
      <c r="F115" s="74" t="s">
        <v>1123</v>
      </c>
      <c r="G115" s="75" t="s">
        <v>209</v>
      </c>
      <c r="H115" s="76" t="s">
        <v>302</v>
      </c>
      <c r="I115" t="str">
        <f>VLOOKUP(F115,Registrations!G:N,6,0)</f>
        <v>QMD Foundation</v>
      </c>
      <c r="J115" t="str">
        <f t="shared" si="1"/>
        <v>Yes</v>
      </c>
    </row>
    <row r="116" spans="1:10" ht="112.5">
      <c r="A116" s="65">
        <v>119</v>
      </c>
      <c r="B116" s="66" t="s">
        <v>1127</v>
      </c>
      <c r="C116" s="65" t="s">
        <v>881</v>
      </c>
      <c r="D116" s="67" t="s">
        <v>971</v>
      </c>
      <c r="E116" s="68" t="s">
        <v>876</v>
      </c>
      <c r="F116" s="76" t="s">
        <v>1128</v>
      </c>
      <c r="G116" s="75" t="s">
        <v>209</v>
      </c>
      <c r="H116" s="133" t="s">
        <v>714</v>
      </c>
      <c r="I116" t="e">
        <f>VLOOKUP(F116,Registrations!G:N,6,0)</f>
        <v>#N/A</v>
      </c>
      <c r="J116" t="e">
        <f t="shared" si="1"/>
        <v>#N/A</v>
      </c>
    </row>
    <row r="117" spans="1:10" ht="112.5">
      <c r="A117" s="65">
        <v>120</v>
      </c>
      <c r="B117" s="66" t="s">
        <v>1129</v>
      </c>
      <c r="C117" s="65" t="s">
        <v>1018</v>
      </c>
      <c r="D117" s="67" t="s">
        <v>891</v>
      </c>
      <c r="E117" s="68" t="s">
        <v>876</v>
      </c>
      <c r="F117" s="74" t="s">
        <v>1130</v>
      </c>
      <c r="G117" s="75" t="s">
        <v>209</v>
      </c>
      <c r="H117" s="76" t="s">
        <v>714</v>
      </c>
      <c r="I117" t="str">
        <f>VLOOKUP(F117,Registrations!G:N,6,0)</f>
        <v>QMD Foundation</v>
      </c>
      <c r="J117" t="str">
        <f t="shared" si="1"/>
        <v>Yes</v>
      </c>
    </row>
    <row r="118" spans="1:10" ht="87.5">
      <c r="A118" s="65">
        <v>124</v>
      </c>
      <c r="B118" s="66" t="s">
        <v>1135</v>
      </c>
      <c r="C118" s="65" t="s">
        <v>1136</v>
      </c>
      <c r="D118" s="67" t="s">
        <v>402</v>
      </c>
      <c r="E118" s="68" t="s">
        <v>876</v>
      </c>
      <c r="F118" s="133" t="s">
        <v>1137</v>
      </c>
      <c r="G118" s="68" t="s">
        <v>209</v>
      </c>
      <c r="H118" s="142" t="s">
        <v>302</v>
      </c>
      <c r="I118" t="e">
        <f>VLOOKUP(F118,Registrations!G:N,6,0)</f>
        <v>#N/A</v>
      </c>
      <c r="J118" t="e">
        <f t="shared" si="1"/>
        <v>#N/A</v>
      </c>
    </row>
    <row r="119" spans="1:10" ht="87.5">
      <c r="A119" s="65">
        <v>128</v>
      </c>
      <c r="B119" s="66" t="s">
        <v>1144</v>
      </c>
      <c r="C119" s="65" t="s">
        <v>881</v>
      </c>
      <c r="D119" s="67" t="s">
        <v>161</v>
      </c>
      <c r="E119" s="68" t="s">
        <v>876</v>
      </c>
      <c r="F119" s="125" t="s">
        <v>1145</v>
      </c>
      <c r="G119" s="68" t="s">
        <v>209</v>
      </c>
      <c r="H119" s="133" t="s">
        <v>302</v>
      </c>
      <c r="I119" t="str">
        <f>VLOOKUP(F119,Registrations!G:N,6,0)</f>
        <v>QMD Foundation</v>
      </c>
      <c r="J119" t="str">
        <f t="shared" si="1"/>
        <v>Yes</v>
      </c>
    </row>
    <row r="120" spans="1:10" ht="112.5">
      <c r="A120" s="65">
        <v>131</v>
      </c>
      <c r="B120" s="66" t="s">
        <v>1148</v>
      </c>
      <c r="C120" s="65" t="s">
        <v>1149</v>
      </c>
      <c r="D120" s="67" t="s">
        <v>402</v>
      </c>
      <c r="E120" s="68" t="s">
        <v>876</v>
      </c>
      <c r="F120" s="74" t="s">
        <v>1150</v>
      </c>
      <c r="G120" s="75" t="s">
        <v>209</v>
      </c>
      <c r="H120" s="76" t="s">
        <v>714</v>
      </c>
      <c r="I120" t="e">
        <f>VLOOKUP(F120,Registrations!G:N,6,0)</f>
        <v>#N/A</v>
      </c>
      <c r="J120" t="e">
        <f t="shared" si="1"/>
        <v>#N/A</v>
      </c>
    </row>
    <row r="121" spans="1:10" ht="112.5">
      <c r="A121" s="65">
        <v>132</v>
      </c>
      <c r="B121" s="66" t="s">
        <v>1151</v>
      </c>
      <c r="C121" s="65" t="s">
        <v>881</v>
      </c>
      <c r="D121" s="67" t="s">
        <v>402</v>
      </c>
      <c r="E121" s="68" t="s">
        <v>876</v>
      </c>
      <c r="F121" s="74" t="s">
        <v>1152</v>
      </c>
      <c r="G121" s="75" t="s">
        <v>209</v>
      </c>
      <c r="H121" s="76" t="s">
        <v>714</v>
      </c>
      <c r="I121" t="e">
        <f>VLOOKUP(F121,Registrations!G:N,6,0)</f>
        <v>#N/A</v>
      </c>
      <c r="J121" t="e">
        <f t="shared" si="1"/>
        <v>#N/A</v>
      </c>
    </row>
    <row r="122" spans="1:10" ht="87.5">
      <c r="A122" s="65">
        <v>134</v>
      </c>
      <c r="B122" s="66" t="s">
        <v>1156</v>
      </c>
      <c r="C122" s="65" t="s">
        <v>1157</v>
      </c>
      <c r="D122" s="67" t="s">
        <v>348</v>
      </c>
      <c r="E122" s="68" t="s">
        <v>876</v>
      </c>
      <c r="F122" s="128" t="s">
        <v>1158</v>
      </c>
      <c r="G122" s="68" t="s">
        <v>209</v>
      </c>
      <c r="H122" s="133" t="s">
        <v>302</v>
      </c>
      <c r="I122" t="e">
        <f>VLOOKUP(F122,Registrations!G:N,6,0)</f>
        <v>#N/A</v>
      </c>
      <c r="J122" t="e">
        <f t="shared" si="1"/>
        <v>#N/A</v>
      </c>
    </row>
    <row r="123" spans="1:10" ht="112.5">
      <c r="A123" s="65">
        <v>136</v>
      </c>
      <c r="B123" s="66" t="s">
        <v>1161</v>
      </c>
      <c r="C123" s="65" t="s">
        <v>966</v>
      </c>
      <c r="D123" s="67" t="s">
        <v>402</v>
      </c>
      <c r="E123" s="68" t="s">
        <v>876</v>
      </c>
      <c r="F123" s="93" t="s">
        <v>1162</v>
      </c>
      <c r="G123" s="68" t="s">
        <v>209</v>
      </c>
      <c r="H123" s="145" t="s">
        <v>714</v>
      </c>
      <c r="I123" t="e">
        <f>VLOOKUP(F123,Registrations!G:N,6,0)</f>
        <v>#N/A</v>
      </c>
      <c r="J123" t="e">
        <f t="shared" si="1"/>
        <v>#N/A</v>
      </c>
    </row>
    <row r="124" spans="1:10" ht="26">
      <c r="A124" s="65">
        <v>137</v>
      </c>
      <c r="B124" s="66" t="s">
        <v>1163</v>
      </c>
      <c r="C124" s="65" t="s">
        <v>1164</v>
      </c>
      <c r="D124" s="67" t="s">
        <v>1165</v>
      </c>
      <c r="E124" s="68" t="s">
        <v>876</v>
      </c>
      <c r="F124" s="125" t="s">
        <v>1166</v>
      </c>
      <c r="G124" s="68" t="s">
        <v>209</v>
      </c>
      <c r="H124" s="133" t="s">
        <v>217</v>
      </c>
      <c r="I124" t="e">
        <f>VLOOKUP(F124,Registrations!G:N,6,0)</f>
        <v>#N/A</v>
      </c>
      <c r="J124" t="e">
        <f t="shared" si="1"/>
        <v>#N/A</v>
      </c>
    </row>
    <row r="125" spans="1:10" ht="117">
      <c r="A125" s="65">
        <v>138</v>
      </c>
      <c r="B125" s="66" t="s">
        <v>1167</v>
      </c>
      <c r="C125" s="65" t="s">
        <v>881</v>
      </c>
      <c r="D125" s="67" t="s">
        <v>402</v>
      </c>
      <c r="E125" s="68" t="s">
        <v>921</v>
      </c>
      <c r="F125" s="74" t="s">
        <v>1168</v>
      </c>
      <c r="G125" s="75" t="s">
        <v>209</v>
      </c>
      <c r="H125" s="129" t="s">
        <v>1169</v>
      </c>
      <c r="I125" t="e">
        <f>VLOOKUP(F125,Registrations!G:N,6,0)</f>
        <v>#N/A</v>
      </c>
      <c r="J125" t="e">
        <f t="shared" si="1"/>
        <v>#N/A</v>
      </c>
    </row>
    <row r="126" spans="1:10" ht="112.5">
      <c r="A126" s="65">
        <v>142</v>
      </c>
      <c r="B126" s="66" t="s">
        <v>1177</v>
      </c>
      <c r="C126" s="65" t="s">
        <v>881</v>
      </c>
      <c r="D126" s="67" t="s">
        <v>930</v>
      </c>
      <c r="E126" s="68" t="s">
        <v>876</v>
      </c>
      <c r="F126" s="74" t="s">
        <v>1178</v>
      </c>
      <c r="G126" s="75" t="s">
        <v>209</v>
      </c>
      <c r="H126" s="133" t="s">
        <v>714</v>
      </c>
      <c r="I126" t="e">
        <f>VLOOKUP(F126,Registrations!G:N,6,0)</f>
        <v>#N/A</v>
      </c>
      <c r="J126" t="e">
        <f t="shared" si="1"/>
        <v>#N/A</v>
      </c>
    </row>
    <row r="127" spans="1:10" ht="117">
      <c r="A127" s="65">
        <v>143</v>
      </c>
      <c r="B127" s="66" t="s">
        <v>1179</v>
      </c>
      <c r="C127" s="65" t="s">
        <v>873</v>
      </c>
      <c r="D127" s="67" t="s">
        <v>402</v>
      </c>
      <c r="E127" s="68" t="s">
        <v>876</v>
      </c>
      <c r="F127" s="128" t="s">
        <v>1180</v>
      </c>
      <c r="G127" s="68" t="s">
        <v>209</v>
      </c>
      <c r="H127" s="68" t="s">
        <v>1169</v>
      </c>
      <c r="I127" t="str">
        <f>VLOOKUP(F127,Registrations!G:N,6,0)</f>
        <v>QMD Foundation</v>
      </c>
      <c r="J127" t="str">
        <f t="shared" si="1"/>
        <v>Yes</v>
      </c>
    </row>
    <row r="128" spans="1:10" ht="87.5">
      <c r="A128" s="65">
        <v>144</v>
      </c>
      <c r="B128" s="66" t="s">
        <v>114</v>
      </c>
      <c r="C128" s="65" t="s">
        <v>873</v>
      </c>
      <c r="D128" s="67" t="s">
        <v>161</v>
      </c>
      <c r="E128" s="68" t="s">
        <v>921</v>
      </c>
      <c r="F128" s="93" t="s">
        <v>1181</v>
      </c>
      <c r="G128" s="68" t="s">
        <v>209</v>
      </c>
      <c r="H128" s="125" t="s">
        <v>302</v>
      </c>
      <c r="I128" t="e">
        <f>VLOOKUP(F128,Registrations!G:N,6,0)</f>
        <v>#N/A</v>
      </c>
      <c r="J128" t="e">
        <f t="shared" si="1"/>
        <v>#N/A</v>
      </c>
    </row>
    <row r="129" spans="1:10" ht="52">
      <c r="A129" s="65">
        <v>145</v>
      </c>
      <c r="B129" s="66" t="s">
        <v>1182</v>
      </c>
      <c r="C129" s="65" t="s">
        <v>1183</v>
      </c>
      <c r="D129" s="67" t="s">
        <v>930</v>
      </c>
      <c r="E129" s="68" t="s">
        <v>921</v>
      </c>
      <c r="F129" s="74" t="s">
        <v>477</v>
      </c>
      <c r="G129" s="75" t="s">
        <v>209</v>
      </c>
      <c r="H129" s="76" t="s">
        <v>217</v>
      </c>
      <c r="I129" t="str">
        <f>VLOOKUP(F129,Registrations!G:N,6,0)</f>
        <v>IIT Delhi</v>
      </c>
      <c r="J129" t="str">
        <f t="shared" si="1"/>
        <v>Yes</v>
      </c>
    </row>
    <row r="130" spans="1:10" ht="113" thickBot="1">
      <c r="A130" s="65">
        <v>149</v>
      </c>
      <c r="B130" s="66" t="s">
        <v>1192</v>
      </c>
      <c r="C130" s="65" t="s">
        <v>1193</v>
      </c>
      <c r="D130" s="67" t="s">
        <v>402</v>
      </c>
      <c r="E130" s="68" t="s">
        <v>876</v>
      </c>
      <c r="F130" s="128" t="s">
        <v>1194</v>
      </c>
      <c r="G130" s="68" t="s">
        <v>209</v>
      </c>
      <c r="H130" s="133" t="s">
        <v>714</v>
      </c>
      <c r="I130" t="e">
        <f>VLOOKUP(F130,Registrations!G:N,6,0)</f>
        <v>#N/A</v>
      </c>
      <c r="J130" t="e">
        <f t="shared" si="1"/>
        <v>#N/A</v>
      </c>
    </row>
    <row r="131" spans="1:10" ht="117.5" thickBot="1">
      <c r="A131" s="65">
        <v>150</v>
      </c>
      <c r="B131" s="66" t="s">
        <v>1195</v>
      </c>
      <c r="C131" s="65" t="s">
        <v>873</v>
      </c>
      <c r="D131" s="67" t="s">
        <v>161</v>
      </c>
      <c r="E131" s="68" t="s">
        <v>876</v>
      </c>
      <c r="F131" s="131" t="s">
        <v>1196</v>
      </c>
      <c r="G131" s="75" t="s">
        <v>209</v>
      </c>
      <c r="H131" s="68" t="s">
        <v>1169</v>
      </c>
      <c r="I131" t="e">
        <f>VLOOKUP(F131,Registrations!G:N,6,0)</f>
        <v>#N/A</v>
      </c>
      <c r="J131" t="e">
        <f t="shared" ref="J131:J167" si="2">IF(I131="#NA","No", "Yes")</f>
        <v>#N/A</v>
      </c>
    </row>
    <row r="132" spans="1:10" ht="87.5">
      <c r="A132" s="65">
        <v>151</v>
      </c>
      <c r="B132" s="66" t="s">
        <v>1197</v>
      </c>
      <c r="C132" s="65" t="s">
        <v>1088</v>
      </c>
      <c r="D132" s="67" t="s">
        <v>161</v>
      </c>
      <c r="E132" s="68" t="s">
        <v>876</v>
      </c>
      <c r="F132" s="76" t="s">
        <v>1198</v>
      </c>
      <c r="G132" s="75" t="s">
        <v>209</v>
      </c>
      <c r="H132" s="76" t="s">
        <v>302</v>
      </c>
      <c r="I132" t="e">
        <f>VLOOKUP(F132,Registrations!G:N,6,0)</f>
        <v>#N/A</v>
      </c>
      <c r="J132" t="e">
        <f t="shared" si="2"/>
        <v>#N/A</v>
      </c>
    </row>
    <row r="133" spans="1:10" ht="39">
      <c r="A133" s="65">
        <v>8</v>
      </c>
      <c r="B133" s="66" t="s">
        <v>892</v>
      </c>
      <c r="C133" s="65" t="s">
        <v>1224</v>
      </c>
      <c r="D133" s="67" t="s">
        <v>894</v>
      </c>
      <c r="E133" s="68" t="s">
        <v>876</v>
      </c>
      <c r="F133" s="132" t="s">
        <v>150</v>
      </c>
      <c r="G133" s="75" t="s">
        <v>137</v>
      </c>
      <c r="H133" s="97" t="s">
        <v>364</v>
      </c>
      <c r="I133" t="str">
        <f>VLOOKUP(F133,Registrations!G:N,6,0)</f>
        <v>IIT Madras</v>
      </c>
      <c r="J133" t="str">
        <f t="shared" si="2"/>
        <v>Yes</v>
      </c>
    </row>
    <row r="134" spans="1:10" ht="26">
      <c r="A134" s="65">
        <v>9</v>
      </c>
      <c r="B134" s="66" t="s">
        <v>895</v>
      </c>
      <c r="C134" s="65" t="s">
        <v>1225</v>
      </c>
      <c r="D134" s="67" t="s">
        <v>891</v>
      </c>
      <c r="E134" s="68" t="s">
        <v>876</v>
      </c>
      <c r="F134" s="71" t="s">
        <v>897</v>
      </c>
      <c r="G134" s="68" t="s">
        <v>137</v>
      </c>
      <c r="H134" s="73" t="s">
        <v>364</v>
      </c>
      <c r="I134" t="str">
        <f>VLOOKUP(F134,Registrations!G:N,6,0)</f>
        <v>IITM CDOT Samgnya Technologies Foundation at IIT Madras</v>
      </c>
      <c r="J134" t="str">
        <f t="shared" si="2"/>
        <v>Yes</v>
      </c>
    </row>
    <row r="135" spans="1:10" ht="26">
      <c r="A135" s="65">
        <v>11</v>
      </c>
      <c r="B135" s="66" t="s">
        <v>900</v>
      </c>
      <c r="C135" s="65" t="s">
        <v>1211</v>
      </c>
      <c r="D135" s="67" t="s">
        <v>901</v>
      </c>
      <c r="E135" s="68" t="s">
        <v>876</v>
      </c>
      <c r="F135" s="132" t="s">
        <v>692</v>
      </c>
      <c r="G135" s="75" t="s">
        <v>137</v>
      </c>
      <c r="H135" s="97" t="s">
        <v>420</v>
      </c>
      <c r="I135" t="str">
        <f>VLOOKUP(F135,Registrations!G:N,6,0)</f>
        <v>IIT Madras</v>
      </c>
      <c r="J135" t="str">
        <f t="shared" si="2"/>
        <v>Yes</v>
      </c>
    </row>
    <row r="136" spans="1:10" ht="26">
      <c r="A136" s="65">
        <v>18</v>
      </c>
      <c r="B136" s="66" t="s">
        <v>920</v>
      </c>
      <c r="C136" s="65" t="s">
        <v>1211</v>
      </c>
      <c r="D136" s="67" t="s">
        <v>402</v>
      </c>
      <c r="E136" s="68" t="s">
        <v>921</v>
      </c>
      <c r="F136" s="71" t="s">
        <v>399</v>
      </c>
      <c r="G136" s="68" t="s">
        <v>137</v>
      </c>
      <c r="H136" s="73" t="s">
        <v>364</v>
      </c>
      <c r="I136" t="str">
        <f>VLOOKUP(F136,Registrations!G:N,6,0)</f>
        <v>IIT Madras</v>
      </c>
      <c r="J136" t="str">
        <f t="shared" si="2"/>
        <v>Yes</v>
      </c>
    </row>
    <row r="137" spans="1:10" ht="26">
      <c r="A137" s="65">
        <v>22</v>
      </c>
      <c r="B137" s="66" t="s">
        <v>928</v>
      </c>
      <c r="C137" s="65" t="s">
        <v>1219</v>
      </c>
      <c r="D137" s="67" t="s">
        <v>874</v>
      </c>
      <c r="E137" s="68" t="s">
        <v>876</v>
      </c>
      <c r="F137" s="132" t="s">
        <v>295</v>
      </c>
      <c r="G137" s="75" t="s">
        <v>137</v>
      </c>
      <c r="H137" s="129" t="s">
        <v>296</v>
      </c>
      <c r="I137" t="str">
        <f>VLOOKUP(F137,Registrations!G:N,6,0)</f>
        <v>IIT Madras</v>
      </c>
      <c r="J137" t="str">
        <f t="shared" si="2"/>
        <v>Yes</v>
      </c>
    </row>
    <row r="138" spans="1:10" ht="26">
      <c r="A138" s="65">
        <v>23</v>
      </c>
      <c r="B138" s="66" t="s">
        <v>929</v>
      </c>
      <c r="C138" s="65" t="s">
        <v>1219</v>
      </c>
      <c r="D138" s="67" t="s">
        <v>930</v>
      </c>
      <c r="E138" s="68" t="s">
        <v>876</v>
      </c>
      <c r="F138" s="129" t="s">
        <v>931</v>
      </c>
      <c r="G138" s="75" t="s">
        <v>137</v>
      </c>
      <c r="H138" s="129" t="s">
        <v>296</v>
      </c>
      <c r="I138" t="e">
        <f>VLOOKUP(F138,Registrations!G:N,6,0)</f>
        <v>#N/A</v>
      </c>
      <c r="J138" t="e">
        <f t="shared" si="2"/>
        <v>#N/A</v>
      </c>
    </row>
    <row r="139" spans="1:10" ht="26">
      <c r="A139" s="65">
        <v>24</v>
      </c>
      <c r="B139" s="66" t="s">
        <v>932</v>
      </c>
      <c r="C139" s="65" t="s">
        <v>1219</v>
      </c>
      <c r="D139" s="67" t="s">
        <v>933</v>
      </c>
      <c r="E139" s="68" t="s">
        <v>876</v>
      </c>
      <c r="F139" s="132" t="s">
        <v>934</v>
      </c>
      <c r="G139" s="75" t="s">
        <v>137</v>
      </c>
      <c r="H139" s="86" t="s">
        <v>296</v>
      </c>
      <c r="I139">
        <f>VLOOKUP(F139,Registrations!G:N,6,0)</f>
        <v>0</v>
      </c>
      <c r="J139" t="str">
        <f t="shared" si="2"/>
        <v>Yes</v>
      </c>
    </row>
    <row r="140" spans="1:10" ht="26">
      <c r="A140" s="65">
        <v>35</v>
      </c>
      <c r="B140" s="66" t="s">
        <v>959</v>
      </c>
      <c r="C140" s="65" t="s">
        <v>1213</v>
      </c>
      <c r="D140" s="67" t="s">
        <v>960</v>
      </c>
      <c r="E140" s="68" t="s">
        <v>876</v>
      </c>
      <c r="F140" s="71" t="s">
        <v>961</v>
      </c>
      <c r="G140" s="68" t="s">
        <v>137</v>
      </c>
      <c r="H140" s="71" t="s">
        <v>230</v>
      </c>
      <c r="I140" t="e">
        <f>VLOOKUP(F140,Registrations!G:N,6,0)</f>
        <v>#N/A</v>
      </c>
      <c r="J140" t="e">
        <f t="shared" si="2"/>
        <v>#N/A</v>
      </c>
    </row>
    <row r="141" spans="1:10" ht="39">
      <c r="A141" s="65">
        <v>37</v>
      </c>
      <c r="B141" s="66" t="s">
        <v>965</v>
      </c>
      <c r="C141" s="65" t="s">
        <v>966</v>
      </c>
      <c r="D141" s="67" t="s">
        <v>402</v>
      </c>
      <c r="E141" s="68" t="s">
        <v>921</v>
      </c>
      <c r="F141" s="68" t="s">
        <v>157</v>
      </c>
      <c r="G141" s="68" t="s">
        <v>137</v>
      </c>
      <c r="H141" s="69" t="s">
        <v>364</v>
      </c>
      <c r="I141" t="str">
        <f>VLOOKUP(F141,Registrations!G:N,6,0)</f>
        <v>IIT Madras</v>
      </c>
      <c r="J141" t="str">
        <f t="shared" si="2"/>
        <v>Yes</v>
      </c>
    </row>
    <row r="142" spans="1:10" ht="26">
      <c r="A142" s="65">
        <v>38</v>
      </c>
      <c r="B142" s="66" t="s">
        <v>967</v>
      </c>
      <c r="C142" s="65" t="s">
        <v>913</v>
      </c>
      <c r="D142" s="67" t="s">
        <v>402</v>
      </c>
      <c r="E142" s="68" t="s">
        <v>921</v>
      </c>
      <c r="F142" s="68" t="s">
        <v>968</v>
      </c>
      <c r="G142" s="68" t="s">
        <v>137</v>
      </c>
      <c r="H142" s="69" t="s">
        <v>364</v>
      </c>
      <c r="I142" t="e">
        <f>VLOOKUP(F142,Registrations!G:N,6,0)</f>
        <v>#N/A</v>
      </c>
      <c r="J142" t="e">
        <f t="shared" si="2"/>
        <v>#N/A</v>
      </c>
    </row>
    <row r="143" spans="1:10" ht="26">
      <c r="A143" s="65">
        <v>44</v>
      </c>
      <c r="B143" s="66" t="s">
        <v>979</v>
      </c>
      <c r="C143" s="65" t="s">
        <v>1211</v>
      </c>
      <c r="D143" s="67" t="s">
        <v>980</v>
      </c>
      <c r="E143" s="68" t="s">
        <v>876</v>
      </c>
      <c r="F143" s="132" t="s">
        <v>651</v>
      </c>
      <c r="G143" s="75" t="s">
        <v>137</v>
      </c>
      <c r="H143" s="97" t="s">
        <v>420</v>
      </c>
      <c r="I143" t="str">
        <f>VLOOKUP(F143,Registrations!G:N,6,0)</f>
        <v>IIT Madras</v>
      </c>
      <c r="J143" t="str">
        <f t="shared" si="2"/>
        <v>Yes</v>
      </c>
    </row>
    <row r="144" spans="1:10" ht="26">
      <c r="A144" s="65">
        <v>51</v>
      </c>
      <c r="B144" s="66" t="s">
        <v>995</v>
      </c>
      <c r="C144" s="65" t="s">
        <v>873</v>
      </c>
      <c r="D144" s="67" t="s">
        <v>996</v>
      </c>
      <c r="E144" s="68" t="s">
        <v>876</v>
      </c>
      <c r="F144" s="129" t="s">
        <v>997</v>
      </c>
      <c r="G144" s="75" t="s">
        <v>137</v>
      </c>
      <c r="H144" s="140" t="s">
        <v>364</v>
      </c>
      <c r="I144">
        <f>VLOOKUP(F144,Registrations!G:N,6,0)</f>
        <v>0</v>
      </c>
      <c r="J144" t="str">
        <f t="shared" si="2"/>
        <v>Yes</v>
      </c>
    </row>
    <row r="145" spans="1:10" ht="39">
      <c r="A145" s="65">
        <v>54</v>
      </c>
      <c r="B145" s="66" t="s">
        <v>1001</v>
      </c>
      <c r="C145" s="65" t="s">
        <v>1002</v>
      </c>
      <c r="D145" s="67" t="s">
        <v>1003</v>
      </c>
      <c r="E145" s="68" t="s">
        <v>876</v>
      </c>
      <c r="F145" s="132" t="s">
        <v>609</v>
      </c>
      <c r="G145" s="75" t="s">
        <v>137</v>
      </c>
      <c r="H145" s="97" t="s">
        <v>420</v>
      </c>
      <c r="I145" t="str">
        <f>VLOOKUP(F145,Registrations!G:N,6,0)</f>
        <v>IIT Madras</v>
      </c>
      <c r="J145" t="str">
        <f t="shared" si="2"/>
        <v>Yes</v>
      </c>
    </row>
    <row r="146" spans="1:10" ht="52">
      <c r="A146" s="65">
        <v>55</v>
      </c>
      <c r="B146" s="66" t="s">
        <v>1004</v>
      </c>
      <c r="C146" s="65" t="s">
        <v>896</v>
      </c>
      <c r="D146" s="67" t="s">
        <v>891</v>
      </c>
      <c r="E146" s="68" t="s">
        <v>876</v>
      </c>
      <c r="F146" s="129" t="s">
        <v>1005</v>
      </c>
      <c r="G146" s="75" t="s">
        <v>137</v>
      </c>
      <c r="H146" s="97" t="s">
        <v>364</v>
      </c>
      <c r="I146" t="e">
        <f>VLOOKUP(F146,Registrations!G:N,6,0)</f>
        <v>#N/A</v>
      </c>
      <c r="J146" t="e">
        <f t="shared" si="2"/>
        <v>#N/A</v>
      </c>
    </row>
    <row r="147" spans="1:10" ht="39">
      <c r="A147" s="65">
        <v>60</v>
      </c>
      <c r="B147" s="66" t="s">
        <v>1015</v>
      </c>
      <c r="C147" s="65" t="s">
        <v>885</v>
      </c>
      <c r="D147" s="67" t="s">
        <v>930</v>
      </c>
      <c r="E147" s="68" t="s">
        <v>876</v>
      </c>
      <c r="F147" s="71" t="s">
        <v>1016</v>
      </c>
      <c r="G147" s="68" t="s">
        <v>137</v>
      </c>
      <c r="H147" s="71" t="s">
        <v>296</v>
      </c>
      <c r="I147" t="e">
        <f>VLOOKUP(F147,Registrations!G:N,6,0)</f>
        <v>#N/A</v>
      </c>
      <c r="J147" t="e">
        <f t="shared" si="2"/>
        <v>#N/A</v>
      </c>
    </row>
    <row r="148" spans="1:10" ht="26">
      <c r="A148" s="65">
        <v>63</v>
      </c>
      <c r="B148" s="66" t="s">
        <v>1023</v>
      </c>
      <c r="C148" s="65" t="s">
        <v>1024</v>
      </c>
      <c r="D148" s="67" t="s">
        <v>1025</v>
      </c>
      <c r="E148" s="68" t="s">
        <v>921</v>
      </c>
      <c r="F148" s="68" t="s">
        <v>1026</v>
      </c>
      <c r="G148" s="68" t="s">
        <v>137</v>
      </c>
      <c r="H148" s="69" t="s">
        <v>521</v>
      </c>
      <c r="I148" t="e">
        <f>VLOOKUP(F148,Registrations!G:N,6,0)</f>
        <v>#N/A</v>
      </c>
      <c r="J148" t="e">
        <f t="shared" si="2"/>
        <v>#N/A</v>
      </c>
    </row>
    <row r="149" spans="1:10" ht="39">
      <c r="A149" s="65">
        <v>88</v>
      </c>
      <c r="B149" s="66" t="s">
        <v>1068</v>
      </c>
      <c r="C149" s="65" t="s">
        <v>1069</v>
      </c>
      <c r="D149" s="67" t="s">
        <v>1070</v>
      </c>
      <c r="E149" s="68" t="s">
        <v>876</v>
      </c>
      <c r="F149" s="85" t="s">
        <v>1071</v>
      </c>
      <c r="G149" s="68" t="s">
        <v>137</v>
      </c>
      <c r="H149" s="68" t="s">
        <v>230</v>
      </c>
      <c r="I149" t="e">
        <f>VLOOKUP(F149,Registrations!G:N,6,0)</f>
        <v>#N/A</v>
      </c>
      <c r="J149" t="e">
        <f t="shared" si="2"/>
        <v>#N/A</v>
      </c>
    </row>
    <row r="150" spans="1:10" ht="26">
      <c r="A150" s="65">
        <v>89</v>
      </c>
      <c r="B150" s="66" t="s">
        <v>1072</v>
      </c>
      <c r="C150" s="65" t="s">
        <v>1073</v>
      </c>
      <c r="D150" s="67" t="s">
        <v>440</v>
      </c>
      <c r="E150" s="68" t="s">
        <v>921</v>
      </c>
      <c r="F150" s="129" t="s">
        <v>438</v>
      </c>
      <c r="G150" s="75" t="s">
        <v>137</v>
      </c>
      <c r="H150" s="129" t="s">
        <v>296</v>
      </c>
      <c r="I150" t="str">
        <f>VLOOKUP(F150,Registrations!G:N,6,0)</f>
        <v>IIT Madras</v>
      </c>
      <c r="J150" t="str">
        <f t="shared" si="2"/>
        <v>Yes</v>
      </c>
    </row>
    <row r="151" spans="1:10" ht="26">
      <c r="A151" s="65">
        <v>91</v>
      </c>
      <c r="B151" s="66" t="s">
        <v>1078</v>
      </c>
      <c r="C151" s="65" t="s">
        <v>1073</v>
      </c>
      <c r="D151" s="67" t="s">
        <v>440</v>
      </c>
      <c r="E151" s="68" t="s">
        <v>921</v>
      </c>
      <c r="F151" s="129" t="s">
        <v>1079</v>
      </c>
      <c r="G151" s="75" t="s">
        <v>137</v>
      </c>
      <c r="H151" s="86" t="s">
        <v>296</v>
      </c>
      <c r="I151">
        <f>VLOOKUP(F151,Registrations!G:N,6,0)</f>
        <v>0</v>
      </c>
      <c r="J151" t="str">
        <f t="shared" si="2"/>
        <v>Yes</v>
      </c>
    </row>
    <row r="152" spans="1:10" ht="26">
      <c r="A152" s="65">
        <v>95</v>
      </c>
      <c r="B152" s="66" t="s">
        <v>1083</v>
      </c>
      <c r="C152" s="65" t="s">
        <v>881</v>
      </c>
      <c r="D152" s="67" t="s">
        <v>1021</v>
      </c>
      <c r="E152" s="68" t="s">
        <v>876</v>
      </c>
      <c r="F152" s="132" t="s">
        <v>1084</v>
      </c>
      <c r="G152" s="75" t="s">
        <v>137</v>
      </c>
      <c r="H152" s="97" t="s">
        <v>420</v>
      </c>
      <c r="I152" t="e">
        <f>VLOOKUP(F152,Registrations!G:N,6,0)</f>
        <v>#N/A</v>
      </c>
      <c r="J152" t="e">
        <f t="shared" si="2"/>
        <v>#N/A</v>
      </c>
    </row>
    <row r="153" spans="1:10" ht="26">
      <c r="A153" s="65">
        <v>100</v>
      </c>
      <c r="B153" s="66" t="s">
        <v>1091</v>
      </c>
      <c r="C153" s="65" t="s">
        <v>873</v>
      </c>
      <c r="D153" s="67" t="s">
        <v>971</v>
      </c>
      <c r="E153" s="68" t="s">
        <v>921</v>
      </c>
      <c r="F153" s="77" t="s">
        <v>424</v>
      </c>
      <c r="G153" s="68" t="s">
        <v>137</v>
      </c>
      <c r="H153" s="71" t="s">
        <v>230</v>
      </c>
      <c r="I153" t="str">
        <f>VLOOKUP(F153,Registrations!G:N,6,0)</f>
        <v>IIT Madras</v>
      </c>
      <c r="J153" t="str">
        <f t="shared" si="2"/>
        <v>Yes</v>
      </c>
    </row>
    <row r="154" spans="1:10" ht="39">
      <c r="A154" s="65">
        <v>127</v>
      </c>
      <c r="B154" s="66" t="s">
        <v>1142</v>
      </c>
      <c r="C154" s="65" t="s">
        <v>885</v>
      </c>
      <c r="D154" s="67" t="s">
        <v>960</v>
      </c>
      <c r="E154" s="68" t="s">
        <v>876</v>
      </c>
      <c r="F154" s="68" t="s">
        <v>1143</v>
      </c>
      <c r="G154" s="68" t="s">
        <v>137</v>
      </c>
      <c r="H154" s="144" t="s">
        <v>230</v>
      </c>
      <c r="I154" t="e">
        <f>VLOOKUP(F154,Registrations!G:N,6,0)</f>
        <v>#N/A</v>
      </c>
      <c r="J154" t="e">
        <f t="shared" si="2"/>
        <v>#N/A</v>
      </c>
    </row>
    <row r="155" spans="1:10" ht="26">
      <c r="A155" s="65">
        <v>153</v>
      </c>
      <c r="B155" s="66" t="s">
        <v>1200</v>
      </c>
      <c r="C155" s="65" t="s">
        <v>1013</v>
      </c>
      <c r="D155" s="67" t="s">
        <v>1014</v>
      </c>
      <c r="E155" s="68" t="s">
        <v>921</v>
      </c>
      <c r="F155" s="85" t="s">
        <v>418</v>
      </c>
      <c r="G155" s="68" t="s">
        <v>137</v>
      </c>
      <c r="H155" s="69" t="s">
        <v>420</v>
      </c>
      <c r="I155" t="str">
        <f>VLOOKUP(F155,Registrations!G:N,6,0)</f>
        <v>IIT Madras</v>
      </c>
      <c r="J155" t="str">
        <f t="shared" si="2"/>
        <v>Yes</v>
      </c>
    </row>
    <row r="156" spans="1:10" ht="52.5" thickBot="1">
      <c r="A156" s="65">
        <v>154</v>
      </c>
      <c r="B156" s="66" t="s">
        <v>1201</v>
      </c>
      <c r="C156" s="65" t="s">
        <v>896</v>
      </c>
      <c r="D156" s="67" t="s">
        <v>879</v>
      </c>
      <c r="E156" s="68" t="s">
        <v>876</v>
      </c>
      <c r="F156" s="85" t="s">
        <v>429</v>
      </c>
      <c r="G156" s="68" t="s">
        <v>137</v>
      </c>
      <c r="H156" s="68" t="s">
        <v>230</v>
      </c>
      <c r="I156" t="str">
        <f>VLOOKUP(F156,Registrations!G:N,6,0)</f>
        <v>IIT Madras</v>
      </c>
      <c r="J156" t="str">
        <f t="shared" si="2"/>
        <v>Yes</v>
      </c>
    </row>
    <row r="157" spans="1:10" ht="26.5" thickBot="1">
      <c r="A157" s="65">
        <v>155</v>
      </c>
      <c r="B157" s="66" t="s">
        <v>1202</v>
      </c>
      <c r="C157" s="65" t="s">
        <v>873</v>
      </c>
      <c r="D157" s="67" t="s">
        <v>1039</v>
      </c>
      <c r="E157" s="68" t="s">
        <v>876</v>
      </c>
      <c r="F157" s="135" t="s">
        <v>1203</v>
      </c>
      <c r="G157" s="75" t="s">
        <v>137</v>
      </c>
      <c r="H157" s="68" t="s">
        <v>230</v>
      </c>
      <c r="I157" t="e">
        <f>VLOOKUP(F157,Registrations!G:N,6,0)</f>
        <v>#N/A</v>
      </c>
      <c r="J157" t="e">
        <f t="shared" si="2"/>
        <v>#N/A</v>
      </c>
    </row>
    <row r="158" spans="1:10" ht="26">
      <c r="A158" s="75">
        <v>157</v>
      </c>
      <c r="B158" s="68" t="s">
        <v>1226</v>
      </c>
      <c r="C158" s="68" t="s">
        <v>974</v>
      </c>
      <c r="D158" s="83" t="s">
        <v>360</v>
      </c>
      <c r="E158" s="68" t="s">
        <v>876</v>
      </c>
      <c r="F158" s="71" t="s">
        <v>362</v>
      </c>
      <c r="G158" s="68" t="s">
        <v>137</v>
      </c>
      <c r="H158" s="69" t="s">
        <v>364</v>
      </c>
      <c r="I158" t="str">
        <f>VLOOKUP(F158,Registrations!G:N,6,0)</f>
        <v>IIT Madras</v>
      </c>
      <c r="J158" t="str">
        <f t="shared" si="2"/>
        <v>Yes</v>
      </c>
    </row>
    <row r="159" spans="1:10" ht="13">
      <c r="A159" s="75">
        <v>158</v>
      </c>
      <c r="B159" s="68" t="s">
        <v>1227</v>
      </c>
      <c r="C159" s="68" t="s">
        <v>974</v>
      </c>
      <c r="D159" s="83" t="s">
        <v>1228</v>
      </c>
      <c r="E159" s="68" t="s">
        <v>876</v>
      </c>
      <c r="F159" s="85" t="s">
        <v>618</v>
      </c>
      <c r="G159" s="68" t="s">
        <v>137</v>
      </c>
      <c r="H159" s="68" t="s">
        <v>230</v>
      </c>
      <c r="I159" t="str">
        <f>VLOOKUP(F159,Registrations!G:N,6,0)</f>
        <v>IISc Bangalore</v>
      </c>
      <c r="J159" t="str">
        <f t="shared" si="2"/>
        <v>Yes</v>
      </c>
    </row>
    <row r="160" spans="1:10" ht="13">
      <c r="A160" s="96">
        <v>159</v>
      </c>
      <c r="B160" s="90" t="s">
        <v>1229</v>
      </c>
      <c r="C160" s="69" t="s">
        <v>974</v>
      </c>
      <c r="D160" s="69" t="s">
        <v>1230</v>
      </c>
      <c r="E160" s="69" t="s">
        <v>876</v>
      </c>
      <c r="F160" s="69" t="s">
        <v>974</v>
      </c>
      <c r="G160" s="69" t="s">
        <v>137</v>
      </c>
      <c r="H160" s="69" t="s">
        <v>230</v>
      </c>
      <c r="I160" t="e">
        <f>VLOOKUP(F160,Registrations!G:N,6,0)</f>
        <v>#N/A</v>
      </c>
      <c r="J160" t="e">
        <f t="shared" si="2"/>
        <v>#N/A</v>
      </c>
    </row>
    <row r="161" spans="1:10" ht="13">
      <c r="A161" s="96">
        <v>160</v>
      </c>
      <c r="B161" s="90" t="s">
        <v>1231</v>
      </c>
      <c r="C161" s="69" t="s">
        <v>974</v>
      </c>
      <c r="D161" s="83" t="s">
        <v>1232</v>
      </c>
      <c r="E161" s="69" t="s">
        <v>876</v>
      </c>
      <c r="F161" s="69" t="s">
        <v>974</v>
      </c>
      <c r="G161" s="69" t="s">
        <v>137</v>
      </c>
      <c r="H161" s="69" t="s">
        <v>521</v>
      </c>
      <c r="I161" t="e">
        <f>VLOOKUP(F161,Registrations!G:N,6,0)</f>
        <v>#N/A</v>
      </c>
      <c r="J161" t="e">
        <f t="shared" si="2"/>
        <v>#N/A</v>
      </c>
    </row>
    <row r="162" spans="1:10" ht="13">
      <c r="A162" s="96">
        <v>161</v>
      </c>
      <c r="B162" s="90" t="s">
        <v>1233</v>
      </c>
      <c r="C162" s="69" t="s">
        <v>974</v>
      </c>
      <c r="D162" s="83" t="s">
        <v>1232</v>
      </c>
      <c r="E162" s="69" t="s">
        <v>876</v>
      </c>
      <c r="F162" s="69" t="s">
        <v>974</v>
      </c>
      <c r="G162" s="69" t="s">
        <v>137</v>
      </c>
      <c r="H162" s="69" t="s">
        <v>521</v>
      </c>
      <c r="I162" t="e">
        <f>VLOOKUP(F162,Registrations!G:N,6,0)</f>
        <v>#N/A</v>
      </c>
      <c r="J162" t="e">
        <f t="shared" si="2"/>
        <v>#N/A</v>
      </c>
    </row>
    <row r="163" spans="1:10" ht="13">
      <c r="A163" s="96">
        <v>162</v>
      </c>
      <c r="B163" s="90" t="s">
        <v>1234</v>
      </c>
      <c r="C163" s="69" t="s">
        <v>974</v>
      </c>
      <c r="D163" s="83" t="s">
        <v>1232</v>
      </c>
      <c r="E163" s="69" t="s">
        <v>876</v>
      </c>
      <c r="F163" s="69" t="s">
        <v>974</v>
      </c>
      <c r="G163" s="69" t="s">
        <v>137</v>
      </c>
      <c r="H163" s="69" t="s">
        <v>521</v>
      </c>
      <c r="I163" t="e">
        <f>VLOOKUP(F163,Registrations!G:N,6,0)</f>
        <v>#N/A</v>
      </c>
      <c r="J163" t="e">
        <f t="shared" si="2"/>
        <v>#N/A</v>
      </c>
    </row>
    <row r="164" spans="1:10" ht="13">
      <c r="A164" s="96">
        <v>163</v>
      </c>
      <c r="B164" s="90" t="s">
        <v>1235</v>
      </c>
      <c r="C164" s="69" t="s">
        <v>974</v>
      </c>
      <c r="D164" s="83" t="s">
        <v>1236</v>
      </c>
      <c r="E164" s="69" t="s">
        <v>876</v>
      </c>
      <c r="F164" s="69" t="s">
        <v>974</v>
      </c>
      <c r="G164" s="69" t="s">
        <v>137</v>
      </c>
      <c r="H164" s="69" t="s">
        <v>521</v>
      </c>
      <c r="I164" t="e">
        <f>VLOOKUP(F164,Registrations!G:N,6,0)</f>
        <v>#N/A</v>
      </c>
      <c r="J164" t="e">
        <f t="shared" si="2"/>
        <v>#N/A</v>
      </c>
    </row>
    <row r="165" spans="1:10" ht="13">
      <c r="A165" s="96">
        <v>164</v>
      </c>
      <c r="B165" s="90" t="s">
        <v>1237</v>
      </c>
      <c r="C165" s="69" t="s">
        <v>974</v>
      </c>
      <c r="D165" s="83" t="s">
        <v>1236</v>
      </c>
      <c r="E165" s="69" t="s">
        <v>876</v>
      </c>
      <c r="F165" s="69" t="s">
        <v>974</v>
      </c>
      <c r="G165" s="69" t="s">
        <v>137</v>
      </c>
      <c r="H165" s="69" t="s">
        <v>521</v>
      </c>
      <c r="I165" t="e">
        <f>VLOOKUP(F165,Registrations!G:N,6,0)</f>
        <v>#N/A</v>
      </c>
      <c r="J165" t="e">
        <f t="shared" si="2"/>
        <v>#N/A</v>
      </c>
    </row>
    <row r="166" spans="1:10" ht="52">
      <c r="A166" s="123">
        <v>49</v>
      </c>
      <c r="B166" s="65" t="s">
        <v>992</v>
      </c>
      <c r="C166" s="67" t="s">
        <v>881</v>
      </c>
      <c r="D166" s="67" t="s">
        <v>993</v>
      </c>
      <c r="E166" s="68" t="s">
        <v>876</v>
      </c>
      <c r="F166" s="125"/>
      <c r="G166" s="125"/>
      <c r="H166" s="69" t="s">
        <v>408</v>
      </c>
      <c r="I166" t="e">
        <f>VLOOKUP(F166,Registrations!G:N,6,0)</f>
        <v>#N/A</v>
      </c>
      <c r="J166" t="e">
        <f t="shared" si="2"/>
        <v>#N/A</v>
      </c>
    </row>
    <row r="167" spans="1:10" ht="13">
      <c r="A167" s="97"/>
      <c r="B167" s="90" t="s">
        <v>1238</v>
      </c>
      <c r="C167" s="97"/>
      <c r="D167" s="97"/>
      <c r="E167" s="97"/>
      <c r="F167" s="97"/>
      <c r="G167" s="97"/>
      <c r="H167" s="97"/>
      <c r="I167" t="e">
        <f>VLOOKUP(F167,Registrations!G:N,6,0)</f>
        <v>#N/A</v>
      </c>
      <c r="J167" t="e">
        <f t="shared" si="2"/>
        <v>#N/A</v>
      </c>
    </row>
  </sheetData>
  <hyperlinks>
    <hyperlink ref="F17" r:id="rId1" xr:uid="{9D4DB0A0-15B0-401D-8F07-C450782CE2FD}"/>
    <hyperlink ref="F102" r:id="rId2" xr:uid="{940AB046-FF8D-4D5C-A215-DD90064F01ED}"/>
    <hyperlink ref="F133" r:id="rId3" xr:uid="{D547931B-1EDB-4656-9370-B6CA88A92191}"/>
    <hyperlink ref="F135" r:id="rId4" xr:uid="{EA80471D-EEED-4FDE-8922-38DAC1A4261C}"/>
    <hyperlink ref="F104" r:id="rId5" xr:uid="{F0123789-0E55-4843-8086-59F5AD1C5226}"/>
    <hyperlink ref="F137" r:id="rId6" xr:uid="{0828E027-083C-4DC3-9E7B-B3C5BB20725F}"/>
    <hyperlink ref="F139" r:id="rId7" xr:uid="{83F9C133-B46A-4BC3-80CB-012A859FCA43}"/>
    <hyperlink ref="F21" r:id="rId8" xr:uid="{60FA2CC9-849B-4C5C-AEB2-82D39612FDAF}"/>
    <hyperlink ref="F23" r:id="rId9" xr:uid="{525866B9-9174-42DA-B01A-3B663B925287}"/>
    <hyperlink ref="F105" r:id="rId10" xr:uid="{F3A41843-E1D8-474B-98A2-4530801225D3}"/>
    <hyperlink ref="F24" r:id="rId11" xr:uid="{470A3C9D-14DD-4449-801C-3763C82A0214}"/>
    <hyperlink ref="F106" r:id="rId12" xr:uid="{69DDD1CF-64C8-44A3-9AF0-822B8C27EF7E}"/>
    <hyperlink ref="F143" r:id="rId13" xr:uid="{D024599C-1711-4629-9214-78D33285DE28}"/>
    <hyperlink ref="F26" r:id="rId14" xr:uid="{92BE1D0C-CF31-49B9-893D-4FE396E1D521}"/>
    <hyperlink ref="F107" r:id="rId15" xr:uid="{F048BD32-BA25-412C-85FB-AE4B984E763D}"/>
    <hyperlink ref="F5" r:id="rId16" xr:uid="{FFB099E6-B56A-420B-955B-21D13DDA66ED}"/>
    <hyperlink ref="F145" r:id="rId17" xr:uid="{0312D084-86A1-400A-9B1D-47DD62754950}"/>
    <hyperlink ref="F32" r:id="rId18" xr:uid="{721BA837-BFC9-4124-811F-A431D85D6F7B}"/>
    <hyperlink ref="F33" r:id="rId19" xr:uid="{DA90B8EF-A17F-466E-8A20-4C7F26BDEB53}"/>
    <hyperlink ref="F34" r:id="rId20" xr:uid="{FC1322BD-889F-4834-9C9A-96A2414DF2CF}"/>
    <hyperlink ref="F36" r:id="rId21" xr:uid="{01377325-BC6A-41EB-8CA6-8243B8FF79DA}"/>
    <hyperlink ref="F149" r:id="rId22" xr:uid="{5C6CADC8-01DF-4554-A5E4-10504A04012B}"/>
    <hyperlink ref="F40" r:id="rId23" xr:uid="{830AA958-FADE-4FD9-A65A-89276A039436}"/>
    <hyperlink ref="F42" r:id="rId24" xr:uid="{5DBC2E9E-8CEE-48CB-B07D-3CD81DC3BA26}"/>
    <hyperlink ref="F152" r:id="rId25" xr:uid="{0D72387D-4C2F-47EF-AA92-4530BFBFF8FC}"/>
    <hyperlink ref="F109" r:id="rId26" xr:uid="{80E6267A-59F5-427A-A50E-B3D00BCF0BAE}"/>
    <hyperlink ref="F153" r:id="rId27" xr:uid="{371461C4-69D6-448C-993E-7621E84A5284}"/>
    <hyperlink ref="F44" r:id="rId28" xr:uid="{C3920AD6-7A4F-4147-BAA9-CB3F074A2883}"/>
    <hyperlink ref="F110" r:id="rId29" xr:uid="{1919CF25-50BC-4474-8406-871AA66FA6DD}"/>
    <hyperlink ref="F46" r:id="rId30" xr:uid="{E16392E8-3895-44FA-BEBA-373D0472A0ED}"/>
    <hyperlink ref="F111" r:id="rId31" xr:uid="{F7B96415-5B07-4879-A501-7A2D8416F1BF}"/>
    <hyperlink ref="F52" r:id="rId32" xr:uid="{B7CB83D0-A6B7-4D8C-99FC-DAD779DF45F7}"/>
    <hyperlink ref="F113" r:id="rId33" xr:uid="{A4F8BCB1-E633-4970-9A4B-C5078DF894AA}"/>
    <hyperlink ref="F114" r:id="rId34" xr:uid="{822B8FAB-B630-4788-91E9-5A3B70148C28}"/>
    <hyperlink ref="F115" r:id="rId35" xr:uid="{AA2BD870-86CD-478B-9036-E61BBCC7FD96}"/>
    <hyperlink ref="F117" r:id="rId36" xr:uid="{BEBE840F-4BE8-42D1-A814-2B8937471A49}"/>
    <hyperlink ref="F99" r:id="rId37" xr:uid="{2431CF20-9986-4499-9B0C-42B15E2AB5AD}"/>
    <hyperlink ref="F55" r:id="rId38" xr:uid="{2DACF22D-D76E-424A-8A2B-5FAFFCBCE51A}"/>
    <hyperlink ref="F57" r:id="rId39" xr:uid="{EE915A47-E8E9-4B91-8A42-64618F54BC66}"/>
    <hyperlink ref="F120" r:id="rId40" xr:uid="{29929F3F-91C0-4D73-B6DF-DE155EF91BB2}"/>
    <hyperlink ref="F121" r:id="rId41" xr:uid="{81672171-6F41-4B16-9989-1B28458FFEC4}"/>
    <hyperlink ref="F122" r:id="rId42" xr:uid="{20D778C7-8E7B-4F70-A83E-70002879F066}"/>
    <hyperlink ref="F123" r:id="rId43" xr:uid="{DA6695B6-51BE-4BD5-BF90-6A8F868D5CF5}"/>
    <hyperlink ref="F125" r:id="rId44" xr:uid="{056C6FB0-55B7-4395-8CC5-C57A0C84033A}"/>
    <hyperlink ref="F60" r:id="rId45" xr:uid="{0D656D0A-BD9B-4187-A6AE-61E5E9124170}"/>
    <hyperlink ref="F126" r:id="rId46" xr:uid="{BE491195-207F-4EF2-BBB5-B8BBE8D4D29C}"/>
    <hyperlink ref="F127" r:id="rId47" xr:uid="{A9D1E2A6-9EE2-4478-9AB1-20C04D4A2763}"/>
    <hyperlink ref="F128" r:id="rId48" xr:uid="{F32825A6-C7A2-4149-A2B3-29B774BD5D8A}"/>
    <hyperlink ref="F129" r:id="rId49" xr:uid="{01C2DDED-EA28-4E9E-BAA6-987F8E8906B6}"/>
    <hyperlink ref="F61" r:id="rId50" xr:uid="{87938EF6-C80E-48C9-941A-CC43168CBCCF}"/>
    <hyperlink ref="F62" r:id="rId51" xr:uid="{9EB15736-176C-4C83-B66C-7F9127D7D466}"/>
    <hyperlink ref="F63" r:id="rId52" xr:uid="{0E49D95C-BCEB-46D8-9435-F6D13A7264AF}"/>
    <hyperlink ref="F130" r:id="rId53" xr:uid="{B79BD870-5F84-4733-AB6E-5E83F0A588B7}"/>
    <hyperlink ref="F131" r:id="rId54" xr:uid="{F276D8BD-A758-4E8D-895A-DF6A91483A70}"/>
    <hyperlink ref="F64" r:id="rId55" xr:uid="{B0904FBB-9BEF-420F-8C16-761A5E6B8715}"/>
    <hyperlink ref="F155" r:id="rId56" xr:uid="{737A120E-44B5-485B-9E72-BC39DF921FC6}"/>
    <hyperlink ref="F156" r:id="rId57" xr:uid="{0FB40D49-34A1-4DF6-88F3-A9298EE93D1B}"/>
    <hyperlink ref="F157" r:id="rId58" xr:uid="{F7942733-98B1-4260-904F-728674902977}"/>
    <hyperlink ref="F65" r:id="rId59" xr:uid="{53DACAA4-B5B4-42AF-9904-BF790886E7B7}"/>
    <hyperlink ref="F159" r:id="rId60" xr:uid="{FBDE148A-8198-42E4-BA03-CC2512A786D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A209B-C796-4B77-9928-15D969F9B176}">
  <dimension ref="B3:S80"/>
  <sheetViews>
    <sheetView workbookViewId="0">
      <selection activeCell="J3" sqref="J3:R24"/>
    </sheetView>
  </sheetViews>
  <sheetFormatPr defaultColWidth="8.7265625" defaultRowHeight="12.5"/>
  <cols>
    <col min="1" max="1" width="8.7265625" style="19"/>
    <col min="2" max="2" width="8.453125" style="19" customWidth="1"/>
    <col min="3" max="3" width="36.81640625" style="19" customWidth="1"/>
    <col min="4" max="4" width="4" style="19" bestFit="1" customWidth="1"/>
    <col min="5" max="5" width="5.1796875" style="19" bestFit="1" customWidth="1"/>
    <col min="6" max="6" width="7.81640625" style="19" bestFit="1" customWidth="1"/>
    <col min="7" max="7" width="16.453125" style="19" customWidth="1"/>
    <col min="8" max="9" width="8.7265625" style="19"/>
    <col min="10" max="10" width="5.1796875" style="19" customWidth="1"/>
    <col min="11" max="11" width="4.453125" style="19" customWidth="1"/>
    <col min="12" max="12" width="10.81640625" style="167" customWidth="1"/>
    <col min="13" max="13" width="27.7265625" style="167" customWidth="1"/>
    <col min="14" max="14" width="8.7265625" style="19"/>
    <col min="15" max="15" width="10.453125" style="19" bestFit="1" customWidth="1"/>
    <col min="16" max="16" width="15.81640625" style="19" customWidth="1"/>
    <col min="17" max="17" width="12.54296875" style="19" customWidth="1"/>
    <col min="18" max="16384" width="8.7265625" style="19"/>
  </cols>
  <sheetData>
    <row r="3" spans="2:18" ht="15.5">
      <c r="B3" s="20" t="s">
        <v>1239</v>
      </c>
      <c r="C3" s="20" t="s">
        <v>1240</v>
      </c>
      <c r="D3" s="20" t="s">
        <v>1241</v>
      </c>
      <c r="E3" s="21" t="s">
        <v>1242</v>
      </c>
      <c r="F3" s="20" t="s">
        <v>1243</v>
      </c>
      <c r="G3" s="20" t="s">
        <v>1244</v>
      </c>
      <c r="J3" s="483" t="s">
        <v>2456</v>
      </c>
      <c r="K3" s="483"/>
      <c r="L3" s="484" t="s">
        <v>2457</v>
      </c>
      <c r="M3" s="484"/>
      <c r="N3" s="469" t="s">
        <v>2458</v>
      </c>
      <c r="O3" s="469" t="s">
        <v>2459</v>
      </c>
      <c r="P3" s="469" t="s">
        <v>2455</v>
      </c>
      <c r="Q3" s="485" t="s">
        <v>2460</v>
      </c>
      <c r="R3" s="485"/>
    </row>
    <row r="4" spans="2:18" ht="15.5">
      <c r="B4" s="22" t="s">
        <v>1245</v>
      </c>
      <c r="C4" s="23" t="s">
        <v>1246</v>
      </c>
      <c r="D4" s="22" t="s">
        <v>1247</v>
      </c>
      <c r="E4" s="22" t="s">
        <v>1247</v>
      </c>
      <c r="F4" s="22" t="s">
        <v>1247</v>
      </c>
      <c r="G4" s="22" t="s">
        <v>1247</v>
      </c>
      <c r="J4" s="486"/>
      <c r="K4" s="486"/>
      <c r="L4" s="487" t="s">
        <v>2453</v>
      </c>
      <c r="M4" s="487"/>
      <c r="N4" s="470"/>
      <c r="O4" s="470"/>
      <c r="P4" s="470"/>
      <c r="Q4" s="486"/>
      <c r="R4" s="486"/>
    </row>
    <row r="5" spans="2:18" ht="15.5">
      <c r="B5" s="24">
        <v>1</v>
      </c>
      <c r="C5" s="25" t="s">
        <v>1248</v>
      </c>
      <c r="D5" s="26" t="s">
        <v>1247</v>
      </c>
      <c r="E5" s="26" t="s">
        <v>1247</v>
      </c>
      <c r="F5" s="26" t="s">
        <v>1247</v>
      </c>
      <c r="G5" s="488">
        <v>135000</v>
      </c>
      <c r="J5" s="482">
        <v>1</v>
      </c>
      <c r="K5" s="482"/>
      <c r="L5" s="478" t="s">
        <v>2461</v>
      </c>
      <c r="M5" s="478"/>
      <c r="N5" s="468">
        <v>3</v>
      </c>
      <c r="O5" s="468">
        <v>2</v>
      </c>
      <c r="P5" s="471"/>
      <c r="Q5" s="515">
        <v>12000</v>
      </c>
      <c r="R5" s="515"/>
    </row>
    <row r="6" spans="2:18" ht="15.5">
      <c r="B6" s="24" t="s">
        <v>1247</v>
      </c>
      <c r="C6" s="51" t="s">
        <v>1249</v>
      </c>
      <c r="D6" s="52">
        <v>1</v>
      </c>
      <c r="E6" s="489">
        <v>2</v>
      </c>
      <c r="F6" s="26" t="s">
        <v>1247</v>
      </c>
      <c r="G6" s="488"/>
      <c r="J6" s="482">
        <v>2</v>
      </c>
      <c r="K6" s="482"/>
      <c r="L6" s="478" t="s">
        <v>2462</v>
      </c>
      <c r="M6" s="478"/>
      <c r="N6" s="468">
        <v>1</v>
      </c>
      <c r="O6" s="468">
        <v>2</v>
      </c>
      <c r="P6" s="471"/>
      <c r="Q6" s="515">
        <v>95000</v>
      </c>
      <c r="R6" s="515"/>
    </row>
    <row r="7" spans="2:18" ht="15.5">
      <c r="B7" s="24" t="s">
        <v>1247</v>
      </c>
      <c r="C7" s="28" t="s">
        <v>1250</v>
      </c>
      <c r="D7" s="26">
        <v>1</v>
      </c>
      <c r="E7" s="489"/>
      <c r="F7" s="26" t="s">
        <v>1247</v>
      </c>
      <c r="G7" s="488"/>
      <c r="J7" s="482">
        <v>3</v>
      </c>
      <c r="K7" s="482"/>
      <c r="L7" s="478" t="s">
        <v>2463</v>
      </c>
      <c r="M7" s="478"/>
      <c r="N7" s="468">
        <v>2</v>
      </c>
      <c r="O7" s="468">
        <v>2</v>
      </c>
      <c r="P7" s="471"/>
      <c r="Q7" s="515">
        <v>2000</v>
      </c>
      <c r="R7" s="515"/>
    </row>
    <row r="8" spans="2:18" ht="15.5">
      <c r="B8" s="24" t="s">
        <v>1247</v>
      </c>
      <c r="C8" s="51" t="s">
        <v>1251</v>
      </c>
      <c r="D8" s="52">
        <v>1</v>
      </c>
      <c r="E8" s="489"/>
      <c r="F8" s="26" t="s">
        <v>1247</v>
      </c>
      <c r="G8" s="488"/>
      <c r="J8" s="482">
        <v>4</v>
      </c>
      <c r="K8" s="482"/>
      <c r="L8" s="478" t="s">
        <v>2464</v>
      </c>
      <c r="M8" s="478"/>
      <c r="N8" s="468">
        <v>2</v>
      </c>
      <c r="O8" s="468">
        <v>2</v>
      </c>
      <c r="P8" s="471"/>
      <c r="Q8" s="515">
        <v>2000</v>
      </c>
      <c r="R8" s="515"/>
    </row>
    <row r="9" spans="2:18" ht="15.5">
      <c r="B9" s="24" t="s">
        <v>1247</v>
      </c>
      <c r="C9" s="53" t="s">
        <v>1252</v>
      </c>
      <c r="D9" s="54">
        <v>3</v>
      </c>
      <c r="E9" s="489"/>
      <c r="F9" s="26" t="s">
        <v>1247</v>
      </c>
      <c r="G9" s="488"/>
      <c r="J9" s="482">
        <v>5</v>
      </c>
      <c r="K9" s="482"/>
      <c r="L9" s="478" t="s">
        <v>2465</v>
      </c>
      <c r="M9" s="478"/>
      <c r="N9" s="468">
        <v>50</v>
      </c>
      <c r="O9" s="468">
        <v>2</v>
      </c>
      <c r="P9" s="472"/>
      <c r="Q9" s="515">
        <v>18500</v>
      </c>
      <c r="R9" s="515"/>
    </row>
    <row r="10" spans="2:18" ht="15.5">
      <c r="B10" s="24" t="s">
        <v>1247</v>
      </c>
      <c r="C10" s="28" t="s">
        <v>1253</v>
      </c>
      <c r="D10" s="26">
        <v>1</v>
      </c>
      <c r="E10" s="489"/>
      <c r="F10" s="26" t="s">
        <v>1247</v>
      </c>
      <c r="G10" s="488"/>
      <c r="J10" s="482">
        <v>6</v>
      </c>
      <c r="K10" s="482"/>
      <c r="L10" s="478" t="s">
        <v>2466</v>
      </c>
      <c r="M10" s="478"/>
      <c r="N10" s="468">
        <v>550</v>
      </c>
      <c r="O10" s="468">
        <v>2</v>
      </c>
      <c r="P10" s="471"/>
      <c r="Q10" s="515">
        <v>6600</v>
      </c>
      <c r="R10" s="515"/>
    </row>
    <row r="11" spans="2:18" ht="29">
      <c r="B11" s="24" t="s">
        <v>1247</v>
      </c>
      <c r="C11" s="28" t="s">
        <v>1254</v>
      </c>
      <c r="D11" s="26">
        <v>1</v>
      </c>
      <c r="E11" s="489"/>
      <c r="F11" s="26" t="s">
        <v>1247</v>
      </c>
      <c r="G11" s="488"/>
      <c r="J11" s="482">
        <v>7</v>
      </c>
      <c r="K11" s="482"/>
      <c r="L11" s="478" t="s">
        <v>2467</v>
      </c>
      <c r="M11" s="478"/>
      <c r="N11" s="468">
        <v>2</v>
      </c>
      <c r="O11" s="468">
        <v>2</v>
      </c>
      <c r="P11" s="471"/>
      <c r="Q11" s="515">
        <v>14000</v>
      </c>
      <c r="R11" s="515"/>
    </row>
    <row r="12" spans="2:18" ht="15.5">
      <c r="B12" s="24" t="s">
        <v>1247</v>
      </c>
      <c r="C12" s="28" t="s">
        <v>1247</v>
      </c>
      <c r="D12" s="26" t="s">
        <v>1247</v>
      </c>
      <c r="E12" s="26" t="s">
        <v>1247</v>
      </c>
      <c r="F12" s="26" t="s">
        <v>1247</v>
      </c>
      <c r="G12" s="29" t="s">
        <v>1247</v>
      </c>
      <c r="J12" s="482">
        <v>8</v>
      </c>
      <c r="K12" s="482"/>
      <c r="L12" s="478" t="s">
        <v>2468</v>
      </c>
      <c r="M12" s="478"/>
      <c r="N12" s="468">
        <v>5</v>
      </c>
      <c r="O12" s="468">
        <v>2</v>
      </c>
      <c r="P12" s="471"/>
      <c r="Q12" s="515">
        <v>20000</v>
      </c>
      <c r="R12" s="515"/>
    </row>
    <row r="13" spans="2:18" ht="15.5">
      <c r="B13" s="30">
        <v>2</v>
      </c>
      <c r="C13" s="31" t="s">
        <v>1255</v>
      </c>
      <c r="D13" s="32" t="s">
        <v>1247</v>
      </c>
      <c r="E13" s="32" t="s">
        <v>1247</v>
      </c>
      <c r="F13" s="32" t="s">
        <v>1247</v>
      </c>
      <c r="G13" s="33" t="s">
        <v>1247</v>
      </c>
      <c r="J13" s="482">
        <v>9</v>
      </c>
      <c r="K13" s="482"/>
      <c r="L13" s="478" t="s">
        <v>2469</v>
      </c>
      <c r="M13" s="478"/>
      <c r="N13" s="468">
        <v>4</v>
      </c>
      <c r="O13" s="468">
        <v>2</v>
      </c>
      <c r="P13" s="471"/>
      <c r="Q13" s="515">
        <v>2000</v>
      </c>
      <c r="R13" s="515"/>
    </row>
    <row r="14" spans="2:18" ht="15.5">
      <c r="B14" s="24" t="s">
        <v>1247</v>
      </c>
      <c r="C14" s="53" t="s">
        <v>1256</v>
      </c>
      <c r="D14" s="54">
        <v>8</v>
      </c>
      <c r="E14" s="489">
        <v>2</v>
      </c>
      <c r="F14" s="26" t="s">
        <v>1247</v>
      </c>
      <c r="G14" s="488">
        <v>280000</v>
      </c>
      <c r="J14" s="482">
        <v>10</v>
      </c>
      <c r="K14" s="482"/>
      <c r="L14" s="478" t="s">
        <v>2470</v>
      </c>
      <c r="M14" s="478"/>
      <c r="N14" s="468">
        <v>150</v>
      </c>
      <c r="O14" s="471"/>
      <c r="P14" s="471"/>
      <c r="Q14" s="515">
        <v>30000</v>
      </c>
      <c r="R14" s="515"/>
    </row>
    <row r="15" spans="2:18" ht="15.5">
      <c r="B15" s="24" t="s">
        <v>1247</v>
      </c>
      <c r="C15" s="53" t="s">
        <v>1257</v>
      </c>
      <c r="D15" s="54">
        <v>1</v>
      </c>
      <c r="E15" s="489"/>
      <c r="F15" s="26" t="s">
        <v>1247</v>
      </c>
      <c r="G15" s="488"/>
      <c r="J15" s="480">
        <v>11</v>
      </c>
      <c r="K15" s="480"/>
      <c r="L15" s="481" t="s">
        <v>2471</v>
      </c>
      <c r="M15" s="481"/>
      <c r="N15" s="471"/>
      <c r="O15" s="471"/>
      <c r="P15" s="471"/>
      <c r="Q15" s="514"/>
      <c r="R15" s="514"/>
    </row>
    <row r="16" spans="2:18" ht="15.5">
      <c r="B16" s="24" t="s">
        <v>1247</v>
      </c>
      <c r="C16" s="28" t="s">
        <v>1258</v>
      </c>
      <c r="D16" s="26">
        <v>1</v>
      </c>
      <c r="E16" s="489"/>
      <c r="F16" s="26" t="s">
        <v>1247</v>
      </c>
      <c r="G16" s="488"/>
      <c r="J16" s="477"/>
      <c r="K16" s="477"/>
      <c r="L16" s="478" t="s">
        <v>2472</v>
      </c>
      <c r="M16" s="478"/>
      <c r="N16" s="468">
        <v>150</v>
      </c>
      <c r="O16" s="468">
        <v>1</v>
      </c>
      <c r="P16" s="473">
        <v>1350</v>
      </c>
      <c r="Q16" s="515">
        <f>P16*N16</f>
        <v>202500</v>
      </c>
      <c r="R16" s="515"/>
    </row>
    <row r="17" spans="2:19" ht="15.5">
      <c r="B17" s="24" t="s">
        <v>1247</v>
      </c>
      <c r="C17" s="51" t="s">
        <v>1259</v>
      </c>
      <c r="D17" s="52">
        <v>4</v>
      </c>
      <c r="E17" s="489"/>
      <c r="F17" s="26" t="s">
        <v>1247</v>
      </c>
      <c r="G17" s="488"/>
      <c r="J17" s="477"/>
      <c r="K17" s="477"/>
      <c r="L17" s="478" t="s">
        <v>2473</v>
      </c>
      <c r="M17" s="478"/>
      <c r="N17" s="468">
        <v>150</v>
      </c>
      <c r="O17" s="468">
        <v>1</v>
      </c>
      <c r="P17" s="474">
        <v>450</v>
      </c>
      <c r="Q17" s="515">
        <v>67500</v>
      </c>
      <c r="R17" s="515"/>
    </row>
    <row r="18" spans="2:19" ht="15.5">
      <c r="B18" s="24" t="s">
        <v>1247</v>
      </c>
      <c r="C18" s="28" t="s">
        <v>1260</v>
      </c>
      <c r="D18" s="26">
        <v>1</v>
      </c>
      <c r="E18" s="489"/>
      <c r="F18" s="26" t="s">
        <v>1247</v>
      </c>
      <c r="G18" s="488"/>
      <c r="J18" s="479"/>
      <c r="K18" s="479"/>
      <c r="L18" s="478" t="s">
        <v>2474</v>
      </c>
      <c r="M18" s="478"/>
      <c r="N18" s="468">
        <v>150</v>
      </c>
      <c r="O18" s="468">
        <v>1</v>
      </c>
      <c r="P18" s="474">
        <v>175</v>
      </c>
      <c r="Q18" s="515">
        <v>26250</v>
      </c>
      <c r="R18" s="515"/>
    </row>
    <row r="19" spans="2:19" ht="15.5">
      <c r="B19" s="24" t="s">
        <v>1247</v>
      </c>
      <c r="C19" s="53" t="s">
        <v>1261</v>
      </c>
      <c r="D19" s="54">
        <v>4</v>
      </c>
      <c r="E19" s="489"/>
      <c r="F19" s="26" t="s">
        <v>1247</v>
      </c>
      <c r="G19" s="488"/>
      <c r="J19" s="477"/>
      <c r="K19" s="477"/>
      <c r="L19" s="478" t="s">
        <v>2475</v>
      </c>
      <c r="M19" s="478"/>
      <c r="N19" s="471"/>
      <c r="O19" s="471"/>
      <c r="P19" s="471"/>
      <c r="Q19" s="515">
        <v>15000</v>
      </c>
      <c r="R19" s="515"/>
    </row>
    <row r="20" spans="2:19" ht="20" customHeight="1">
      <c r="B20" s="24"/>
      <c r="C20" s="53" t="s">
        <v>1262</v>
      </c>
      <c r="D20" s="54">
        <v>5</v>
      </c>
      <c r="E20" s="489"/>
      <c r="F20" s="26"/>
      <c r="G20" s="488"/>
      <c r="J20" s="477"/>
      <c r="K20" s="477"/>
      <c r="L20" s="476" t="s">
        <v>1845</v>
      </c>
      <c r="M20" s="476"/>
      <c r="N20" s="476"/>
      <c r="O20" s="476"/>
      <c r="P20" s="476"/>
      <c r="Q20" s="516" t="s">
        <v>2476</v>
      </c>
      <c r="R20" s="516"/>
      <c r="S20" s="513">
        <f>SUM(Q5:R19)</f>
        <v>513350</v>
      </c>
    </row>
    <row r="21" spans="2:19" ht="15.5">
      <c r="B21" s="24" t="s">
        <v>1247</v>
      </c>
      <c r="C21" s="28" t="s">
        <v>1263</v>
      </c>
      <c r="D21" s="26">
        <v>6</v>
      </c>
      <c r="E21" s="489"/>
      <c r="F21" s="26" t="s">
        <v>1247</v>
      </c>
      <c r="G21" s="488"/>
      <c r="J21" s="477"/>
      <c r="K21" s="477"/>
      <c r="L21" s="476" t="s">
        <v>2454</v>
      </c>
      <c r="M21" s="476"/>
      <c r="N21" s="476"/>
      <c r="O21" s="476"/>
      <c r="P21" s="476"/>
      <c r="Q21" s="516">
        <v>51335</v>
      </c>
      <c r="R21" s="516"/>
    </row>
    <row r="22" spans="2:19" ht="15.5">
      <c r="B22" s="24" t="s">
        <v>1247</v>
      </c>
      <c r="C22" s="53" t="s">
        <v>1264</v>
      </c>
      <c r="D22" s="54">
        <v>3</v>
      </c>
      <c r="E22" s="489"/>
      <c r="F22" s="26" t="s">
        <v>1247</v>
      </c>
      <c r="G22" s="488"/>
      <c r="J22" s="477"/>
      <c r="K22" s="477"/>
      <c r="L22" s="476" t="s">
        <v>1845</v>
      </c>
      <c r="M22" s="476"/>
      <c r="N22" s="476"/>
      <c r="O22" s="476"/>
      <c r="P22" s="476"/>
      <c r="Q22" s="516" t="s">
        <v>2477</v>
      </c>
      <c r="R22" s="516"/>
    </row>
    <row r="23" spans="2:19" ht="15.5">
      <c r="B23" s="24" t="s">
        <v>1247</v>
      </c>
      <c r="C23" s="28" t="s">
        <v>1265</v>
      </c>
      <c r="D23" s="26">
        <v>1</v>
      </c>
      <c r="E23" s="489"/>
      <c r="F23" s="26" t="s">
        <v>1247</v>
      </c>
      <c r="G23" s="488"/>
      <c r="J23" s="477"/>
      <c r="K23" s="477"/>
      <c r="L23" s="476" t="s">
        <v>2480</v>
      </c>
      <c r="M23" s="476"/>
      <c r="N23" s="476"/>
      <c r="O23" s="476"/>
      <c r="P23" s="476"/>
      <c r="Q23" s="516" t="s">
        <v>2478</v>
      </c>
      <c r="R23" s="516"/>
    </row>
    <row r="24" spans="2:19" ht="15.5">
      <c r="B24" s="24" t="s">
        <v>1247</v>
      </c>
      <c r="C24" s="28" t="s">
        <v>1266</v>
      </c>
      <c r="D24" s="26">
        <v>1</v>
      </c>
      <c r="E24" s="490"/>
      <c r="F24" s="26" t="s">
        <v>1247</v>
      </c>
      <c r="G24" s="490"/>
      <c r="J24" s="477"/>
      <c r="K24" s="477"/>
      <c r="L24" s="476" t="s">
        <v>864</v>
      </c>
      <c r="M24" s="476"/>
      <c r="N24" s="476"/>
      <c r="O24" s="476"/>
      <c r="P24" s="476"/>
      <c r="Q24" s="516" t="s">
        <v>2479</v>
      </c>
      <c r="R24" s="516"/>
    </row>
    <row r="25" spans="2:19" ht="14.5">
      <c r="B25" s="24" t="s">
        <v>1247</v>
      </c>
      <c r="C25" s="51" t="s">
        <v>1267</v>
      </c>
      <c r="D25" s="52">
        <v>2</v>
      </c>
      <c r="E25" s="490"/>
      <c r="F25" s="26" t="s">
        <v>1247</v>
      </c>
      <c r="G25" s="490"/>
    </row>
    <row r="26" spans="2:19" ht="14.5">
      <c r="B26" s="24" t="s">
        <v>1247</v>
      </c>
      <c r="C26" s="28" t="s">
        <v>1247</v>
      </c>
      <c r="D26" s="26" t="s">
        <v>1247</v>
      </c>
      <c r="E26" s="26" t="s">
        <v>1247</v>
      </c>
      <c r="F26" s="26" t="s">
        <v>1247</v>
      </c>
      <c r="G26" s="26" t="s">
        <v>1247</v>
      </c>
    </row>
    <row r="27" spans="2:19" ht="14.5">
      <c r="B27" s="24" t="s">
        <v>1247</v>
      </c>
      <c r="C27" s="25" t="s">
        <v>1268</v>
      </c>
      <c r="D27" s="26" t="s">
        <v>1247</v>
      </c>
      <c r="E27" s="26" t="s">
        <v>1247</v>
      </c>
      <c r="F27" s="26" t="s">
        <v>1247</v>
      </c>
      <c r="G27" s="26" t="s">
        <v>1247</v>
      </c>
    </row>
    <row r="28" spans="2:19" ht="14.5">
      <c r="B28" s="24" t="s">
        <v>1247</v>
      </c>
      <c r="C28" s="28" t="s">
        <v>1269</v>
      </c>
      <c r="D28" s="24">
        <v>1</v>
      </c>
      <c r="E28" s="493">
        <v>2</v>
      </c>
      <c r="F28" s="24" t="s">
        <v>1247</v>
      </c>
      <c r="G28" s="496">
        <v>160000</v>
      </c>
    </row>
    <row r="29" spans="2:19" ht="14.5">
      <c r="B29" s="24" t="s">
        <v>1247</v>
      </c>
      <c r="C29" s="28" t="s">
        <v>1270</v>
      </c>
      <c r="D29" s="26" t="s">
        <v>1247</v>
      </c>
      <c r="E29" s="494"/>
      <c r="F29" s="26" t="s">
        <v>1247</v>
      </c>
      <c r="G29" s="497"/>
    </row>
    <row r="30" spans="2:19" ht="14.5">
      <c r="B30" s="24" t="s">
        <v>1247</v>
      </c>
      <c r="C30" s="28" t="s">
        <v>1271</v>
      </c>
      <c r="D30" s="26" t="s">
        <v>1247</v>
      </c>
      <c r="E30" s="494"/>
      <c r="F30" s="26" t="s">
        <v>1247</v>
      </c>
      <c r="G30" s="497"/>
    </row>
    <row r="31" spans="2:19" ht="14.5">
      <c r="B31" s="24" t="s">
        <v>1247</v>
      </c>
      <c r="C31" s="28" t="s">
        <v>1272</v>
      </c>
      <c r="D31" s="26" t="s">
        <v>1247</v>
      </c>
      <c r="E31" s="494"/>
      <c r="F31" s="26" t="s">
        <v>1247</v>
      </c>
      <c r="G31" s="497"/>
    </row>
    <row r="32" spans="2:19" ht="14.5">
      <c r="B32" s="24"/>
      <c r="C32" s="53" t="s">
        <v>1273</v>
      </c>
      <c r="D32" s="54">
        <v>1</v>
      </c>
      <c r="E32" s="495"/>
      <c r="F32" s="26"/>
      <c r="G32" s="498"/>
    </row>
    <row r="33" spans="2:7" ht="14.5">
      <c r="B33" s="24" t="s">
        <v>1247</v>
      </c>
      <c r="C33" s="28" t="s">
        <v>1247</v>
      </c>
      <c r="D33" s="26" t="s">
        <v>1247</v>
      </c>
      <c r="E33" s="26" t="s">
        <v>1247</v>
      </c>
      <c r="F33" s="26" t="s">
        <v>1247</v>
      </c>
      <c r="G33" s="26" t="s">
        <v>1247</v>
      </c>
    </row>
    <row r="34" spans="2:7" ht="14.5">
      <c r="B34" s="30">
        <v>3</v>
      </c>
      <c r="C34" s="31" t="s">
        <v>1274</v>
      </c>
      <c r="D34" s="32" t="s">
        <v>1247</v>
      </c>
      <c r="E34" s="32" t="s">
        <v>1247</v>
      </c>
      <c r="F34" s="32" t="s">
        <v>1247</v>
      </c>
      <c r="G34" s="35" t="s">
        <v>1247</v>
      </c>
    </row>
    <row r="35" spans="2:7" ht="14.5">
      <c r="B35" s="24" t="s">
        <v>1247</v>
      </c>
      <c r="C35" s="28" t="s">
        <v>1275</v>
      </c>
      <c r="D35" s="26">
        <v>3</v>
      </c>
      <c r="E35" s="489">
        <v>2</v>
      </c>
      <c r="F35" s="26" t="s">
        <v>1247</v>
      </c>
      <c r="G35" s="488">
        <v>70000</v>
      </c>
    </row>
    <row r="36" spans="2:7" ht="14.5">
      <c r="B36" s="24" t="s">
        <v>1247</v>
      </c>
      <c r="C36" s="28" t="s">
        <v>1276</v>
      </c>
      <c r="D36" s="26">
        <v>2</v>
      </c>
      <c r="E36" s="489"/>
      <c r="F36" s="26" t="s">
        <v>1247</v>
      </c>
      <c r="G36" s="488"/>
    </row>
    <row r="37" spans="2:7" ht="14.5">
      <c r="B37" s="24" t="s">
        <v>1247</v>
      </c>
      <c r="C37" s="28" t="s">
        <v>1277</v>
      </c>
      <c r="D37" s="26">
        <v>8</v>
      </c>
      <c r="E37" s="489"/>
      <c r="F37" s="26" t="s">
        <v>1247</v>
      </c>
      <c r="G37" s="488"/>
    </row>
    <row r="38" spans="2:7" ht="14.5">
      <c r="B38" s="24" t="s">
        <v>1247</v>
      </c>
      <c r="C38" s="28" t="s">
        <v>1247</v>
      </c>
      <c r="D38" s="26" t="s">
        <v>1247</v>
      </c>
      <c r="E38" s="26" t="s">
        <v>1247</v>
      </c>
      <c r="F38" s="26" t="s">
        <v>1247</v>
      </c>
      <c r="G38" s="26" t="s">
        <v>1247</v>
      </c>
    </row>
    <row r="39" spans="2:7" ht="14.5">
      <c r="B39" s="36">
        <v>4</v>
      </c>
      <c r="C39" s="37" t="s">
        <v>1278</v>
      </c>
      <c r="D39" s="38" t="s">
        <v>1247</v>
      </c>
      <c r="E39" s="38" t="s">
        <v>1247</v>
      </c>
      <c r="F39" s="38" t="s">
        <v>1247</v>
      </c>
      <c r="G39" s="38" t="s">
        <v>1247</v>
      </c>
    </row>
    <row r="40" spans="2:7" ht="14.5">
      <c r="B40" s="24" t="s">
        <v>1247</v>
      </c>
      <c r="C40" s="28" t="s">
        <v>1279</v>
      </c>
      <c r="D40" s="26">
        <v>1</v>
      </c>
      <c r="E40" s="489">
        <v>2</v>
      </c>
      <c r="F40" s="489" t="s">
        <v>1247</v>
      </c>
      <c r="G40" s="488">
        <v>700000</v>
      </c>
    </row>
    <row r="41" spans="2:7" ht="14.5">
      <c r="B41" s="24" t="s">
        <v>1247</v>
      </c>
      <c r="C41" s="51" t="s">
        <v>1280</v>
      </c>
      <c r="D41" s="52">
        <v>20</v>
      </c>
      <c r="E41" s="489"/>
      <c r="F41" s="489"/>
      <c r="G41" s="488"/>
    </row>
    <row r="42" spans="2:7" ht="14.5">
      <c r="B42" s="24" t="s">
        <v>1247</v>
      </c>
      <c r="C42" s="51" t="s">
        <v>1281</v>
      </c>
      <c r="D42" s="52">
        <v>40</v>
      </c>
      <c r="E42" s="489"/>
      <c r="F42" s="489"/>
      <c r="G42" s="488"/>
    </row>
    <row r="43" spans="2:7" ht="14.5">
      <c r="B43" s="24" t="s">
        <v>1247</v>
      </c>
      <c r="C43" s="53" t="s">
        <v>1282</v>
      </c>
      <c r="D43" s="54">
        <v>20</v>
      </c>
      <c r="E43" s="489"/>
      <c r="F43" s="489"/>
      <c r="G43" s="488"/>
    </row>
    <row r="44" spans="2:7" ht="14.5">
      <c r="B44" s="24"/>
      <c r="C44" s="53" t="s">
        <v>1283</v>
      </c>
      <c r="D44" s="54">
        <v>1</v>
      </c>
      <c r="E44" s="489"/>
      <c r="F44" s="489"/>
      <c r="G44" s="488"/>
    </row>
    <row r="45" spans="2:7" ht="29">
      <c r="B45" s="24" t="s">
        <v>1247</v>
      </c>
      <c r="C45" s="53" t="s">
        <v>1284</v>
      </c>
      <c r="D45" s="54">
        <v>20</v>
      </c>
      <c r="E45" s="489"/>
      <c r="F45" s="489"/>
      <c r="G45" s="488"/>
    </row>
    <row r="46" spans="2:7" ht="14.5">
      <c r="B46" s="24" t="s">
        <v>1247</v>
      </c>
      <c r="C46" s="28" t="s">
        <v>1247</v>
      </c>
      <c r="D46" s="26" t="s">
        <v>1247</v>
      </c>
      <c r="E46" s="26" t="s">
        <v>1247</v>
      </c>
      <c r="F46" s="26" t="s">
        <v>1247</v>
      </c>
      <c r="G46" s="29" t="s">
        <v>1247</v>
      </c>
    </row>
    <row r="47" spans="2:7" ht="14.5">
      <c r="B47" s="36">
        <v>5</v>
      </c>
      <c r="C47" s="37" t="s">
        <v>1285</v>
      </c>
      <c r="D47" s="38" t="s">
        <v>1247</v>
      </c>
      <c r="E47" s="38" t="s">
        <v>1247</v>
      </c>
      <c r="F47" s="38" t="s">
        <v>1247</v>
      </c>
      <c r="G47" s="39" t="s">
        <v>1247</v>
      </c>
    </row>
    <row r="48" spans="2:7" ht="14.5">
      <c r="B48" s="28" t="s">
        <v>1247</v>
      </c>
      <c r="C48" s="28" t="s">
        <v>1286</v>
      </c>
      <c r="D48" s="26">
        <v>1</v>
      </c>
      <c r="E48" s="26">
        <v>1</v>
      </c>
      <c r="F48" s="26" t="s">
        <v>1247</v>
      </c>
      <c r="G48" s="27">
        <v>100000</v>
      </c>
    </row>
    <row r="49" spans="2:7" ht="14.5">
      <c r="B49" s="28" t="s">
        <v>1247</v>
      </c>
      <c r="C49" s="28" t="s">
        <v>1247</v>
      </c>
      <c r="D49" s="26" t="s">
        <v>1247</v>
      </c>
      <c r="E49" s="26" t="s">
        <v>1247</v>
      </c>
      <c r="F49" s="26" t="s">
        <v>1247</v>
      </c>
      <c r="G49" s="29" t="s">
        <v>1247</v>
      </c>
    </row>
    <row r="50" spans="2:7" ht="14.5">
      <c r="B50" s="30">
        <v>6</v>
      </c>
      <c r="C50" s="31" t="s">
        <v>1287</v>
      </c>
      <c r="D50" s="32" t="s">
        <v>1247</v>
      </c>
      <c r="E50" s="32" t="s">
        <v>1247</v>
      </c>
      <c r="F50" s="32" t="s">
        <v>1247</v>
      </c>
      <c r="G50" s="33" t="s">
        <v>1247</v>
      </c>
    </row>
    <row r="51" spans="2:7" ht="14.5">
      <c r="B51" s="24" t="s">
        <v>1247</v>
      </c>
      <c r="C51" s="28" t="s">
        <v>1288</v>
      </c>
      <c r="D51" s="26">
        <v>8</v>
      </c>
      <c r="E51" s="26">
        <v>2</v>
      </c>
      <c r="F51" s="26" t="s">
        <v>1247</v>
      </c>
      <c r="G51" s="488">
        <v>110000</v>
      </c>
    </row>
    <row r="52" spans="2:7" ht="14.5">
      <c r="B52" s="40" t="s">
        <v>1247</v>
      </c>
      <c r="C52" s="28" t="s">
        <v>1289</v>
      </c>
      <c r="D52" s="26" t="s">
        <v>1247</v>
      </c>
      <c r="E52" s="26">
        <v>2</v>
      </c>
      <c r="F52" s="26" t="s">
        <v>1247</v>
      </c>
      <c r="G52" s="488"/>
    </row>
    <row r="53" spans="2:7" ht="14.5">
      <c r="B53" s="40" t="s">
        <v>1247</v>
      </c>
      <c r="C53" s="53" t="s">
        <v>1290</v>
      </c>
      <c r="D53" s="26">
        <v>1</v>
      </c>
      <c r="E53" s="26" t="s">
        <v>1247</v>
      </c>
      <c r="F53" s="26" t="s">
        <v>1247</v>
      </c>
      <c r="G53" s="488"/>
    </row>
    <row r="54" spans="2:7" ht="14.5">
      <c r="B54" s="40" t="s">
        <v>1247</v>
      </c>
      <c r="C54" s="28" t="s">
        <v>1291</v>
      </c>
      <c r="D54" s="26" t="s">
        <v>1247</v>
      </c>
      <c r="E54" s="26">
        <v>2</v>
      </c>
      <c r="F54" s="26" t="s">
        <v>1247</v>
      </c>
      <c r="G54" s="488"/>
    </row>
    <row r="55" spans="2:7" ht="14.5">
      <c r="B55" s="40" t="s">
        <v>1247</v>
      </c>
      <c r="C55" s="28" t="s">
        <v>1292</v>
      </c>
      <c r="D55" s="26" t="s">
        <v>1247</v>
      </c>
      <c r="E55" s="26">
        <v>2</v>
      </c>
      <c r="F55" s="26" t="s">
        <v>1247</v>
      </c>
      <c r="G55" s="488"/>
    </row>
    <row r="56" spans="2:7" ht="14.5">
      <c r="B56" s="40" t="s">
        <v>1247</v>
      </c>
      <c r="C56" s="28" t="s">
        <v>1293</v>
      </c>
      <c r="D56" s="26" t="s">
        <v>1247</v>
      </c>
      <c r="E56" s="26" t="s">
        <v>1247</v>
      </c>
      <c r="F56" s="26" t="s">
        <v>1247</v>
      </c>
      <c r="G56" s="488"/>
    </row>
    <row r="57" spans="2:7" ht="14.5">
      <c r="B57" s="40" t="s">
        <v>1247</v>
      </c>
      <c r="C57" s="28" t="s">
        <v>1247</v>
      </c>
      <c r="D57" s="26" t="s">
        <v>1247</v>
      </c>
      <c r="E57" s="26" t="s">
        <v>1247</v>
      </c>
      <c r="F57" s="26" t="s">
        <v>1247</v>
      </c>
      <c r="G57" s="26" t="s">
        <v>1247</v>
      </c>
    </row>
    <row r="58" spans="2:7" ht="14.5">
      <c r="B58" s="30">
        <v>7</v>
      </c>
      <c r="C58" s="31" t="s">
        <v>1294</v>
      </c>
      <c r="D58" s="32" t="s">
        <v>1247</v>
      </c>
      <c r="E58" s="32" t="s">
        <v>1247</v>
      </c>
      <c r="F58" s="41" t="s">
        <v>1247</v>
      </c>
      <c r="G58" s="41" t="s">
        <v>1247</v>
      </c>
    </row>
    <row r="59" spans="2:7" ht="14.5">
      <c r="B59" s="24" t="s">
        <v>1247</v>
      </c>
      <c r="C59" s="28" t="s">
        <v>1295</v>
      </c>
      <c r="D59" s="26" t="s">
        <v>1247</v>
      </c>
      <c r="E59" s="26">
        <v>2</v>
      </c>
      <c r="F59" s="26" t="s">
        <v>1247</v>
      </c>
      <c r="G59" s="488">
        <v>96000</v>
      </c>
    </row>
    <row r="60" spans="2:7" ht="14.5">
      <c r="B60" s="24" t="s">
        <v>1247</v>
      </c>
      <c r="C60" s="28" t="s">
        <v>1296</v>
      </c>
      <c r="D60" s="26" t="s">
        <v>1247</v>
      </c>
      <c r="E60" s="26">
        <v>2</v>
      </c>
      <c r="F60" s="26" t="s">
        <v>1247</v>
      </c>
      <c r="G60" s="488"/>
    </row>
    <row r="61" spans="2:7" ht="14.5">
      <c r="B61" s="24" t="s">
        <v>1247</v>
      </c>
      <c r="C61" s="28" t="s">
        <v>1297</v>
      </c>
      <c r="D61" s="26" t="s">
        <v>1247</v>
      </c>
      <c r="E61" s="26" t="s">
        <v>1247</v>
      </c>
      <c r="F61" s="26" t="s">
        <v>1247</v>
      </c>
      <c r="G61" s="488"/>
    </row>
    <row r="62" spans="2:7" ht="14.5">
      <c r="B62" s="24" t="s">
        <v>1247</v>
      </c>
      <c r="C62" s="28" t="s">
        <v>1247</v>
      </c>
      <c r="D62" s="26" t="s">
        <v>1247</v>
      </c>
      <c r="E62" s="26" t="s">
        <v>1247</v>
      </c>
      <c r="F62" s="26" t="s">
        <v>1247</v>
      </c>
      <c r="G62" s="26" t="s">
        <v>1247</v>
      </c>
    </row>
    <row r="63" spans="2:7" ht="14.5">
      <c r="B63" s="30">
        <v>8</v>
      </c>
      <c r="C63" s="31" t="s">
        <v>1298</v>
      </c>
      <c r="D63" s="32" t="s">
        <v>1247</v>
      </c>
      <c r="E63" s="32" t="s">
        <v>1247</v>
      </c>
      <c r="F63" s="32" t="s">
        <v>1247</v>
      </c>
      <c r="G63" s="32" t="s">
        <v>1247</v>
      </c>
    </row>
    <row r="64" spans="2:7" ht="14.5">
      <c r="B64" s="24" t="s">
        <v>1247</v>
      </c>
      <c r="C64" s="51" t="s">
        <v>1299</v>
      </c>
      <c r="D64" s="52">
        <v>20</v>
      </c>
      <c r="E64" s="499">
        <v>1</v>
      </c>
      <c r="F64" s="55">
        <v>2000</v>
      </c>
      <c r="G64" s="55">
        <v>40000</v>
      </c>
    </row>
    <row r="65" spans="2:7" ht="14.5">
      <c r="B65" s="24" t="s">
        <v>1247</v>
      </c>
      <c r="C65" s="51" t="s">
        <v>1300</v>
      </c>
      <c r="D65" s="52">
        <v>200</v>
      </c>
      <c r="E65" s="499"/>
      <c r="F65" s="56">
        <v>350</v>
      </c>
      <c r="G65" s="55">
        <v>70000</v>
      </c>
    </row>
    <row r="66" spans="2:7" ht="14.5">
      <c r="B66" s="24" t="s">
        <v>1247</v>
      </c>
      <c r="C66" s="51" t="s">
        <v>1301</v>
      </c>
      <c r="D66" s="52">
        <v>200</v>
      </c>
      <c r="E66" s="499"/>
      <c r="F66" s="56">
        <v>100</v>
      </c>
      <c r="G66" s="55">
        <v>20000</v>
      </c>
    </row>
    <row r="67" spans="2:7" ht="14.5">
      <c r="B67" s="40" t="s">
        <v>1247</v>
      </c>
      <c r="C67" s="51" t="s">
        <v>1302</v>
      </c>
      <c r="D67" s="52" t="s">
        <v>1247</v>
      </c>
      <c r="E67" s="52">
        <v>2</v>
      </c>
      <c r="F67" s="56" t="s">
        <v>865</v>
      </c>
      <c r="G67" s="55">
        <v>24000</v>
      </c>
    </row>
    <row r="68" spans="2:7" ht="14.5">
      <c r="B68" s="40" t="s">
        <v>1247</v>
      </c>
      <c r="C68" s="28" t="s">
        <v>1247</v>
      </c>
      <c r="D68" s="26" t="s">
        <v>1247</v>
      </c>
      <c r="E68" s="26" t="s">
        <v>1247</v>
      </c>
      <c r="F68" s="26" t="s">
        <v>1247</v>
      </c>
      <c r="G68" s="28" t="s">
        <v>1247</v>
      </c>
    </row>
    <row r="69" spans="2:7" ht="14.5">
      <c r="B69" s="26" t="s">
        <v>1247</v>
      </c>
      <c r="C69" s="28" t="s">
        <v>1303</v>
      </c>
      <c r="D69" s="26" t="s">
        <v>1247</v>
      </c>
      <c r="E69" s="26" t="s">
        <v>1247</v>
      </c>
      <c r="F69" s="29" t="s">
        <v>865</v>
      </c>
      <c r="G69" s="27">
        <v>120000</v>
      </c>
    </row>
    <row r="70" spans="2:7" ht="14.5">
      <c r="B70" s="26" t="s">
        <v>1247</v>
      </c>
      <c r="C70" s="28" t="s">
        <v>1247</v>
      </c>
      <c r="D70" s="26" t="s">
        <v>1247</v>
      </c>
      <c r="E70" s="26" t="s">
        <v>1247</v>
      </c>
      <c r="F70" s="26" t="s">
        <v>1247</v>
      </c>
      <c r="G70" s="26" t="s">
        <v>1247</v>
      </c>
    </row>
    <row r="71" spans="2:7" ht="14.5">
      <c r="B71" s="42">
        <v>9</v>
      </c>
      <c r="C71" s="43" t="s">
        <v>1304</v>
      </c>
      <c r="D71" s="44" t="s">
        <v>1247</v>
      </c>
      <c r="E71" s="44" t="s">
        <v>1247</v>
      </c>
      <c r="F71" s="44" t="s">
        <v>1247</v>
      </c>
      <c r="G71" s="44" t="s">
        <v>1247</v>
      </c>
    </row>
    <row r="72" spans="2:7" ht="14.5">
      <c r="B72" s="45" t="s">
        <v>1247</v>
      </c>
      <c r="C72" s="28" t="s">
        <v>1305</v>
      </c>
      <c r="D72" s="26">
        <v>200</v>
      </c>
      <c r="E72" s="26">
        <v>2</v>
      </c>
      <c r="F72" s="27">
        <v>1350</v>
      </c>
      <c r="G72" s="27">
        <v>540000</v>
      </c>
    </row>
    <row r="73" spans="2:7" ht="14.5">
      <c r="B73" s="45" t="s">
        <v>1247</v>
      </c>
      <c r="C73" s="28" t="s">
        <v>1306</v>
      </c>
      <c r="D73" s="26">
        <v>200</v>
      </c>
      <c r="E73" s="26">
        <v>2</v>
      </c>
      <c r="F73" s="29">
        <v>450</v>
      </c>
      <c r="G73" s="27">
        <v>180000</v>
      </c>
    </row>
    <row r="74" spans="2:7" ht="29">
      <c r="B74" s="45" t="s">
        <v>1247</v>
      </c>
      <c r="C74" s="53" t="s">
        <v>1307</v>
      </c>
      <c r="D74" s="26">
        <v>200</v>
      </c>
      <c r="E74" s="26">
        <v>2</v>
      </c>
      <c r="F74" s="29">
        <v>175</v>
      </c>
      <c r="G74" s="27">
        <v>70000</v>
      </c>
    </row>
    <row r="75" spans="2:7" ht="14.5">
      <c r="B75" s="45" t="s">
        <v>1247</v>
      </c>
      <c r="C75" s="28" t="s">
        <v>1247</v>
      </c>
      <c r="D75" s="24" t="s">
        <v>1247</v>
      </c>
      <c r="E75" s="24" t="s">
        <v>1247</v>
      </c>
      <c r="F75" s="24" t="s">
        <v>1247</v>
      </c>
      <c r="G75" s="24" t="s">
        <v>1247</v>
      </c>
    </row>
    <row r="76" spans="2:7" ht="15.5">
      <c r="B76" s="46" t="s">
        <v>1247</v>
      </c>
      <c r="C76" s="47"/>
      <c r="D76" s="47"/>
      <c r="E76" s="492" t="s">
        <v>1308</v>
      </c>
      <c r="F76" s="492"/>
      <c r="G76" s="48">
        <v>2715000</v>
      </c>
    </row>
    <row r="77" spans="2:7" ht="15.5">
      <c r="B77" s="49" t="s">
        <v>1247</v>
      </c>
      <c r="C77" s="34"/>
      <c r="D77" s="34"/>
      <c r="E77" s="500" t="s">
        <v>1309</v>
      </c>
      <c r="F77" s="500"/>
      <c r="G77" s="50">
        <v>271500</v>
      </c>
    </row>
    <row r="78" spans="2:7" ht="15.5">
      <c r="B78" s="46" t="s">
        <v>1247</v>
      </c>
      <c r="C78" s="47"/>
      <c r="D78" s="47"/>
      <c r="E78" s="492" t="s">
        <v>1308</v>
      </c>
      <c r="F78" s="492"/>
      <c r="G78" s="48">
        <v>2986500</v>
      </c>
    </row>
    <row r="79" spans="2:7" ht="15.5">
      <c r="B79" s="49" t="s">
        <v>1247</v>
      </c>
      <c r="C79" s="34"/>
      <c r="D79" s="34"/>
      <c r="E79" s="491" t="s">
        <v>1310</v>
      </c>
      <c r="F79" s="491"/>
      <c r="G79" s="50">
        <v>537570</v>
      </c>
    </row>
    <row r="80" spans="2:7" ht="15.5">
      <c r="B80" s="46" t="s">
        <v>1247</v>
      </c>
      <c r="C80" s="47"/>
      <c r="D80" s="47"/>
      <c r="E80" s="492" t="s">
        <v>1311</v>
      </c>
      <c r="F80" s="492"/>
      <c r="G80" s="48">
        <v>3524070</v>
      </c>
    </row>
  </sheetData>
  <mergeCells count="87">
    <mergeCell ref="E79:F79"/>
    <mergeCell ref="E80:F80"/>
    <mergeCell ref="E28:E32"/>
    <mergeCell ref="G28:G32"/>
    <mergeCell ref="G51:G56"/>
    <mergeCell ref="G59:G61"/>
    <mergeCell ref="E64:E66"/>
    <mergeCell ref="E76:F76"/>
    <mergeCell ref="E77:F77"/>
    <mergeCell ref="E78:F78"/>
    <mergeCell ref="E35:E37"/>
    <mergeCell ref="G35:G37"/>
    <mergeCell ref="E40:E45"/>
    <mergeCell ref="F40:F45"/>
    <mergeCell ref="G40:G45"/>
    <mergeCell ref="G5:G11"/>
    <mergeCell ref="E6:E11"/>
    <mergeCell ref="E14:E23"/>
    <mergeCell ref="G14:G23"/>
    <mergeCell ref="E24:E25"/>
    <mergeCell ref="G24:G25"/>
    <mergeCell ref="J3:K3"/>
    <mergeCell ref="L3:M3"/>
    <mergeCell ref="Q3:R3"/>
    <mergeCell ref="J4:K4"/>
    <mergeCell ref="L4:M4"/>
    <mergeCell ref="Q4:R4"/>
    <mergeCell ref="J5:K5"/>
    <mergeCell ref="L5:M5"/>
    <mergeCell ref="Q5:R5"/>
    <mergeCell ref="J6:K6"/>
    <mergeCell ref="L6:M6"/>
    <mergeCell ref="Q6:R6"/>
    <mergeCell ref="J7:K7"/>
    <mergeCell ref="L7:M7"/>
    <mergeCell ref="Q7:R7"/>
    <mergeCell ref="J8:K8"/>
    <mergeCell ref="L8:M8"/>
    <mergeCell ref="Q8:R8"/>
    <mergeCell ref="J9:K9"/>
    <mergeCell ref="L9:M9"/>
    <mergeCell ref="Q9:R9"/>
    <mergeCell ref="J10:K10"/>
    <mergeCell ref="L10:M10"/>
    <mergeCell ref="Q10:R10"/>
    <mergeCell ref="J11:K11"/>
    <mergeCell ref="L11:M11"/>
    <mergeCell ref="Q11:R11"/>
    <mergeCell ref="J12:K12"/>
    <mergeCell ref="L12:M12"/>
    <mergeCell ref="Q12:R12"/>
    <mergeCell ref="J13:K13"/>
    <mergeCell ref="L13:M13"/>
    <mergeCell ref="Q13:R13"/>
    <mergeCell ref="J14:K14"/>
    <mergeCell ref="L14:M14"/>
    <mergeCell ref="Q14:R14"/>
    <mergeCell ref="J15:K15"/>
    <mergeCell ref="L15:M15"/>
    <mergeCell ref="Q15:R15"/>
    <mergeCell ref="J16:K16"/>
    <mergeCell ref="L16:M16"/>
    <mergeCell ref="Q16:R16"/>
    <mergeCell ref="J17:K17"/>
    <mergeCell ref="L17:M17"/>
    <mergeCell ref="Q17:R17"/>
    <mergeCell ref="J18:K18"/>
    <mergeCell ref="L18:M18"/>
    <mergeCell ref="Q18:R18"/>
    <mergeCell ref="J19:K19"/>
    <mergeCell ref="L19:M19"/>
    <mergeCell ref="Q19:R19"/>
    <mergeCell ref="J20:K20"/>
    <mergeCell ref="J21:K21"/>
    <mergeCell ref="Q20:R20"/>
    <mergeCell ref="Q21:R21"/>
    <mergeCell ref="L20:P20"/>
    <mergeCell ref="L21:P21"/>
    <mergeCell ref="L22:P22"/>
    <mergeCell ref="L23:P23"/>
    <mergeCell ref="L24:P24"/>
    <mergeCell ref="Q22:R22"/>
    <mergeCell ref="Q23:R23"/>
    <mergeCell ref="Q24:R24"/>
    <mergeCell ref="J22:K22"/>
    <mergeCell ref="J23:K23"/>
    <mergeCell ref="J24:K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872A-8FD4-4649-BC65-66308212B272}">
  <sheetPr filterMode="1"/>
  <dimension ref="B2:K159"/>
  <sheetViews>
    <sheetView topLeftCell="A117" zoomScale="96" zoomScaleNormal="130" workbookViewId="0">
      <selection activeCell="F4" sqref="F4:F159"/>
    </sheetView>
  </sheetViews>
  <sheetFormatPr defaultRowHeight="12.5"/>
  <cols>
    <col min="3" max="3" width="30" customWidth="1"/>
    <col min="4" max="4" width="23" customWidth="1"/>
    <col min="5" max="5" width="21.81640625" customWidth="1"/>
    <col min="6" max="6" width="15" customWidth="1"/>
    <col min="7" max="7" width="9.90625" customWidth="1"/>
    <col min="8" max="8" width="22.1796875" customWidth="1"/>
  </cols>
  <sheetData>
    <row r="2" spans="2:11" s="152" customFormat="1" ht="13">
      <c r="B2" s="150" t="s">
        <v>866</v>
      </c>
      <c r="C2" s="151" t="s">
        <v>128</v>
      </c>
      <c r="D2" s="151" t="s">
        <v>867</v>
      </c>
      <c r="E2" s="151" t="s">
        <v>868</v>
      </c>
      <c r="F2" s="151" t="s">
        <v>869</v>
      </c>
      <c r="G2" s="151" t="s">
        <v>43</v>
      </c>
      <c r="H2" s="151" t="s">
        <v>44</v>
      </c>
      <c r="I2" s="152" t="s">
        <v>870</v>
      </c>
      <c r="J2" s="152" t="s">
        <v>871</v>
      </c>
      <c r="K2" s="152" t="s">
        <v>45</v>
      </c>
    </row>
    <row r="3" spans="2:11" ht="12.65" hidden="1">
      <c r="B3" s="147">
        <v>1</v>
      </c>
      <c r="C3" s="148" t="s">
        <v>872</v>
      </c>
      <c r="D3" s="148" t="s">
        <v>873</v>
      </c>
      <c r="E3" s="149" t="s">
        <v>874</v>
      </c>
      <c r="F3" t="s">
        <v>875</v>
      </c>
      <c r="G3" t="s">
        <v>144</v>
      </c>
      <c r="H3" t="s">
        <v>245</v>
      </c>
      <c r="I3" t="s">
        <v>876</v>
      </c>
      <c r="J3" t="e">
        <f>VLOOKUP(F3,Registrations!G:G,1,0)</f>
        <v>#N/A</v>
      </c>
      <c r="K3" t="str">
        <f>IF(ISNA(J3),"No", "Yes")</f>
        <v>No</v>
      </c>
    </row>
    <row r="4" spans="2:11">
      <c r="B4" s="147">
        <v>2</v>
      </c>
      <c r="C4" s="158" t="s">
        <v>877</v>
      </c>
      <c r="D4" s="148" t="s">
        <v>878</v>
      </c>
      <c r="E4" s="149" t="s">
        <v>879</v>
      </c>
      <c r="F4" t="s">
        <v>480</v>
      </c>
      <c r="G4" t="s">
        <v>144</v>
      </c>
      <c r="H4" t="s">
        <v>245</v>
      </c>
      <c r="I4" t="s">
        <v>876</v>
      </c>
      <c r="J4" t="str">
        <f>VLOOKUP(F4,Registrations!G:G,1,0)</f>
        <v>anaik@iisc.ac.in</v>
      </c>
      <c r="K4" t="str">
        <f>IF(ISNA(J4),"No", "Yes")</f>
        <v>Yes</v>
      </c>
    </row>
    <row r="5" spans="2:11">
      <c r="B5" s="147">
        <v>3</v>
      </c>
      <c r="C5" s="158" t="s">
        <v>880</v>
      </c>
      <c r="D5" s="148" t="s">
        <v>881</v>
      </c>
      <c r="E5" s="148" t="s">
        <v>879</v>
      </c>
      <c r="F5" t="s">
        <v>740</v>
      </c>
      <c r="G5" t="s">
        <v>174</v>
      </c>
      <c r="H5" t="s">
        <v>772</v>
      </c>
      <c r="I5" t="s">
        <v>876</v>
      </c>
      <c r="J5" t="str">
        <f>VLOOKUP(F5,Registrations!G:G,1,0)</f>
        <v>aksy@iisc.ac.in</v>
      </c>
      <c r="K5" t="str">
        <f t="shared" ref="K5:K68" si="0">IF(ISNA(J5),"No", "Yes")</f>
        <v>Yes</v>
      </c>
    </row>
    <row r="6" spans="2:11" ht="12.65" hidden="1">
      <c r="B6" s="147">
        <v>4</v>
      </c>
      <c r="C6" s="148" t="s">
        <v>882</v>
      </c>
      <c r="D6" s="148" t="s">
        <v>873</v>
      </c>
      <c r="E6" s="149" t="s">
        <v>874</v>
      </c>
      <c r="F6" t="s">
        <v>883</v>
      </c>
      <c r="G6" t="s">
        <v>144</v>
      </c>
      <c r="H6" t="s">
        <v>245</v>
      </c>
      <c r="I6" t="s">
        <v>876</v>
      </c>
      <c r="J6" t="e">
        <f>VLOOKUP(F6,Registrations!G:G,1,0)</f>
        <v>#N/A</v>
      </c>
      <c r="K6" t="str">
        <f t="shared" si="0"/>
        <v>No</v>
      </c>
    </row>
    <row r="7" spans="2:11">
      <c r="B7" s="147">
        <v>5</v>
      </c>
      <c r="C7" s="158" t="s">
        <v>884</v>
      </c>
      <c r="D7" s="148" t="s">
        <v>885</v>
      </c>
      <c r="E7" s="149" t="s">
        <v>874</v>
      </c>
      <c r="F7" t="s">
        <v>675</v>
      </c>
      <c r="G7" t="s">
        <v>144</v>
      </c>
      <c r="H7" t="s">
        <v>245</v>
      </c>
      <c r="I7" t="s">
        <v>876</v>
      </c>
      <c r="J7" t="str">
        <f>VLOOKUP(F7,Registrations!G:G,1,0)</f>
        <v>amitangshu@cse.iitk.ac.in</v>
      </c>
      <c r="K7" t="str">
        <f t="shared" si="0"/>
        <v>Yes</v>
      </c>
    </row>
    <row r="8" spans="2:11">
      <c r="B8" s="147">
        <v>6</v>
      </c>
      <c r="C8" s="158" t="s">
        <v>886</v>
      </c>
      <c r="D8" s="148" t="s">
        <v>887</v>
      </c>
      <c r="E8" s="148" t="s">
        <v>888</v>
      </c>
      <c r="F8" t="s">
        <v>889</v>
      </c>
      <c r="G8" t="s">
        <v>174</v>
      </c>
      <c r="H8" t="s">
        <v>486</v>
      </c>
      <c r="I8" t="s">
        <v>876</v>
      </c>
      <c r="J8" t="e">
        <f>VLOOKUP(F8,Registrations!G:G,1,0)</f>
        <v>#N/A</v>
      </c>
      <c r="K8" s="59" t="s">
        <v>863</v>
      </c>
    </row>
    <row r="9" spans="2:11">
      <c r="B9" s="147">
        <v>7</v>
      </c>
      <c r="C9" s="158" t="s">
        <v>890</v>
      </c>
      <c r="D9" s="148" t="s">
        <v>881</v>
      </c>
      <c r="E9" s="149" t="s">
        <v>891</v>
      </c>
      <c r="F9" t="s">
        <v>646</v>
      </c>
      <c r="G9" t="s">
        <v>209</v>
      </c>
      <c r="H9" t="s">
        <v>217</v>
      </c>
      <c r="I9" t="s">
        <v>876</v>
      </c>
      <c r="J9" t="str">
        <f>VLOOKUP(F9,Registrations!G:G,1,0)</f>
        <v>anirban.mitra@ph.iitr.ac.in</v>
      </c>
      <c r="K9" t="str">
        <f t="shared" si="0"/>
        <v>Yes</v>
      </c>
    </row>
    <row r="10" spans="2:11">
      <c r="B10" s="147">
        <v>8</v>
      </c>
      <c r="C10" s="158" t="s">
        <v>892</v>
      </c>
      <c r="D10" s="148" t="s">
        <v>893</v>
      </c>
      <c r="E10" s="149" t="s">
        <v>894</v>
      </c>
      <c r="F10" t="s">
        <v>150</v>
      </c>
      <c r="G10" t="s">
        <v>137</v>
      </c>
      <c r="H10" t="s">
        <v>364</v>
      </c>
      <c r="I10" t="s">
        <v>876</v>
      </c>
      <c r="J10" t="str">
        <f>VLOOKUP(F10,Registrations!G:G,1,0)</f>
        <v>ankur@iiserb.ac.in</v>
      </c>
      <c r="K10" t="str">
        <f t="shared" si="0"/>
        <v>Yes</v>
      </c>
    </row>
    <row r="11" spans="2:11">
      <c r="B11" s="147">
        <v>9</v>
      </c>
      <c r="C11" s="158" t="s">
        <v>895</v>
      </c>
      <c r="D11" s="148" t="s">
        <v>896</v>
      </c>
      <c r="E11" s="149" t="s">
        <v>891</v>
      </c>
      <c r="F11" t="s">
        <v>897</v>
      </c>
      <c r="G11" t="s">
        <v>137</v>
      </c>
      <c r="H11" t="s">
        <v>364</v>
      </c>
      <c r="I11" t="s">
        <v>876</v>
      </c>
      <c r="J11" t="str">
        <f>VLOOKUP(F11,Registrations!G:G,1,0)</f>
        <v>anshul.jaiswal@ece.iitr.ac.in</v>
      </c>
      <c r="K11" t="str">
        <f t="shared" si="0"/>
        <v>Yes</v>
      </c>
    </row>
    <row r="12" spans="2:11">
      <c r="B12" s="147">
        <v>10</v>
      </c>
      <c r="C12" s="158" t="s">
        <v>898</v>
      </c>
      <c r="D12" s="148" t="s">
        <v>881</v>
      </c>
      <c r="E12" s="149" t="s">
        <v>161</v>
      </c>
      <c r="F12" t="s">
        <v>899</v>
      </c>
      <c r="G12" t="s">
        <v>209</v>
      </c>
      <c r="H12" t="s">
        <v>210</v>
      </c>
      <c r="I12" t="s">
        <v>876</v>
      </c>
      <c r="J12" t="e">
        <f>VLOOKUP(F12,Registrations!G:G,1,0)</f>
        <v>#N/A</v>
      </c>
      <c r="K12" t="s">
        <v>863</v>
      </c>
    </row>
    <row r="13" spans="2:11">
      <c r="B13" s="147">
        <v>11</v>
      </c>
      <c r="C13" s="158" t="s">
        <v>900</v>
      </c>
      <c r="D13" s="148" t="s">
        <v>881</v>
      </c>
      <c r="E13" s="149" t="s">
        <v>901</v>
      </c>
      <c r="F13" t="s">
        <v>692</v>
      </c>
      <c r="G13" t="s">
        <v>137</v>
      </c>
      <c r="H13" t="s">
        <v>420</v>
      </c>
      <c r="I13" t="s">
        <v>876</v>
      </c>
      <c r="J13" t="str">
        <f>VLOOKUP(F13,Registrations!G:G,1,0)</f>
        <v>arijit@iittp.ac.in</v>
      </c>
      <c r="K13" t="str">
        <f t="shared" si="0"/>
        <v>Yes</v>
      </c>
    </row>
    <row r="14" spans="2:11" ht="12.65" hidden="1">
      <c r="B14" s="147">
        <v>12</v>
      </c>
      <c r="C14" s="148" t="s">
        <v>902</v>
      </c>
      <c r="D14" s="148" t="s">
        <v>881</v>
      </c>
      <c r="E14" s="149" t="s">
        <v>894</v>
      </c>
      <c r="F14" t="s">
        <v>903</v>
      </c>
      <c r="G14" t="s">
        <v>144</v>
      </c>
      <c r="H14" t="s">
        <v>904</v>
      </c>
      <c r="I14" t="s">
        <v>876</v>
      </c>
      <c r="J14" t="e">
        <f>VLOOKUP(F14,Registrations!G:G,1,0)</f>
        <v>#N/A</v>
      </c>
      <c r="K14" t="str">
        <f t="shared" si="0"/>
        <v>No</v>
      </c>
    </row>
    <row r="15" spans="2:11">
      <c r="B15" s="147">
        <v>13</v>
      </c>
      <c r="C15" s="158" t="s">
        <v>905</v>
      </c>
      <c r="D15" s="148" t="s">
        <v>906</v>
      </c>
      <c r="E15" s="148" t="s">
        <v>907</v>
      </c>
      <c r="F15" t="s">
        <v>72</v>
      </c>
      <c r="G15" t="s">
        <v>174</v>
      </c>
      <c r="H15" t="s">
        <v>408</v>
      </c>
      <c r="I15" t="s">
        <v>876</v>
      </c>
      <c r="J15" t="str">
        <f>VLOOKUP(F15,Registrations!G:G,1,0)</f>
        <v>a.mohapatra@niser.ac.in</v>
      </c>
      <c r="K15" t="str">
        <f t="shared" si="0"/>
        <v>Yes</v>
      </c>
    </row>
    <row r="16" spans="2:11" ht="12.65" hidden="1">
      <c r="B16" s="147">
        <v>14</v>
      </c>
      <c r="C16" s="148" t="s">
        <v>908</v>
      </c>
      <c r="D16" s="148" t="s">
        <v>881</v>
      </c>
      <c r="E16" s="149" t="s">
        <v>909</v>
      </c>
      <c r="F16" s="60" t="s">
        <v>910</v>
      </c>
      <c r="G16" s="59" t="s">
        <v>137</v>
      </c>
      <c r="H16" s="59" t="s">
        <v>911</v>
      </c>
      <c r="I16" s="59" t="s">
        <v>876</v>
      </c>
      <c r="J16" t="e">
        <f>VLOOKUP(F16,Registrations!G:G,1,0)</f>
        <v>#N/A</v>
      </c>
      <c r="K16" t="str">
        <f t="shared" si="0"/>
        <v>No</v>
      </c>
    </row>
    <row r="17" spans="2:11">
      <c r="B17" s="147">
        <v>15</v>
      </c>
      <c r="C17" s="158" t="s">
        <v>912</v>
      </c>
      <c r="D17" s="148" t="s">
        <v>913</v>
      </c>
      <c r="E17" s="148" t="s">
        <v>402</v>
      </c>
      <c r="F17" t="s">
        <v>914</v>
      </c>
      <c r="G17" t="s">
        <v>174</v>
      </c>
      <c r="H17" t="s">
        <v>772</v>
      </c>
      <c r="I17" t="s">
        <v>876</v>
      </c>
      <c r="J17" t="e">
        <f>VLOOKUP(F17,Registrations!G:G,1,0)</f>
        <v>#N/A</v>
      </c>
      <c r="K17" s="59" t="s">
        <v>863</v>
      </c>
    </row>
    <row r="18" spans="2:11" ht="12.65" hidden="1">
      <c r="B18" s="147">
        <v>16</v>
      </c>
      <c r="C18" s="148" t="s">
        <v>915</v>
      </c>
      <c r="D18" s="148" t="s">
        <v>881</v>
      </c>
      <c r="E18" s="149" t="s">
        <v>916</v>
      </c>
      <c r="F18" t="s">
        <v>917</v>
      </c>
      <c r="G18" t="s">
        <v>144</v>
      </c>
      <c r="H18" t="s">
        <v>245</v>
      </c>
      <c r="I18" t="s">
        <v>876</v>
      </c>
      <c r="J18" t="e">
        <f>VLOOKUP(F18,Registrations!G:G,1,0)</f>
        <v>#N/A</v>
      </c>
      <c r="K18" t="str">
        <f t="shared" si="0"/>
        <v>No</v>
      </c>
    </row>
    <row r="19" spans="2:11">
      <c r="B19" s="147">
        <v>17</v>
      </c>
      <c r="C19" s="158" t="s">
        <v>918</v>
      </c>
      <c r="D19" s="148" t="s">
        <v>919</v>
      </c>
      <c r="E19" s="148" t="s">
        <v>879</v>
      </c>
      <c r="F19" t="s">
        <v>839</v>
      </c>
      <c r="G19" t="s">
        <v>174</v>
      </c>
      <c r="H19" t="s">
        <v>461</v>
      </c>
      <c r="I19" t="s">
        <v>876</v>
      </c>
      <c r="J19" t="str">
        <f>VLOOKUP(F19,Registrations!G:G,1,0)</f>
        <v>surib@iisc.ac.in</v>
      </c>
      <c r="K19" t="str">
        <f t="shared" si="0"/>
        <v>Yes</v>
      </c>
    </row>
    <row r="20" spans="2:11">
      <c r="B20" s="147">
        <v>18</v>
      </c>
      <c r="C20" s="158" t="s">
        <v>920</v>
      </c>
      <c r="D20" s="148" t="s">
        <v>881</v>
      </c>
      <c r="E20" s="149" t="s">
        <v>402</v>
      </c>
      <c r="F20" t="s">
        <v>399</v>
      </c>
      <c r="G20" t="s">
        <v>137</v>
      </c>
      <c r="H20" t="s">
        <v>364</v>
      </c>
      <c r="I20" t="s">
        <v>921</v>
      </c>
      <c r="J20" t="str">
        <f>VLOOKUP(F20,Registrations!G:G,1,0)</f>
        <v>bkanseri@physics.iitd.ac.in</v>
      </c>
      <c r="K20" t="str">
        <f t="shared" si="0"/>
        <v>Yes</v>
      </c>
    </row>
    <row r="21" spans="2:11">
      <c r="B21" s="147">
        <v>19</v>
      </c>
      <c r="C21" s="158" t="s">
        <v>922</v>
      </c>
      <c r="D21" s="148" t="s">
        <v>906</v>
      </c>
      <c r="E21" s="149" t="s">
        <v>348</v>
      </c>
      <c r="F21" t="s">
        <v>280</v>
      </c>
      <c r="G21" t="s">
        <v>144</v>
      </c>
      <c r="H21" t="s">
        <v>245</v>
      </c>
      <c r="I21" t="s">
        <v>876</v>
      </c>
      <c r="J21" t="str">
        <f>VLOOKUP(F21,Registrations!G:G,1,0)</f>
        <v>msbd@iacs.res.in</v>
      </c>
      <c r="K21" t="str">
        <f t="shared" si="0"/>
        <v>Yes</v>
      </c>
    </row>
    <row r="22" spans="2:11" ht="12.65" hidden="1">
      <c r="B22" s="147">
        <v>20</v>
      </c>
      <c r="C22" s="148" t="s">
        <v>923</v>
      </c>
      <c r="D22" s="148" t="s">
        <v>881</v>
      </c>
      <c r="E22" s="149" t="s">
        <v>894</v>
      </c>
      <c r="F22" t="s">
        <v>924</v>
      </c>
      <c r="G22" t="s">
        <v>144</v>
      </c>
      <c r="H22" t="s">
        <v>904</v>
      </c>
      <c r="I22" t="s">
        <v>876</v>
      </c>
      <c r="J22" t="e">
        <f>VLOOKUP(F22,Registrations!G:G,1,0)</f>
        <v>#N/A</v>
      </c>
      <c r="K22" t="str">
        <f t="shared" si="0"/>
        <v>No</v>
      </c>
    </row>
    <row r="23" spans="2:11">
      <c r="B23" s="147">
        <v>21</v>
      </c>
      <c r="C23" s="158" t="s">
        <v>925</v>
      </c>
      <c r="D23" s="148" t="s">
        <v>881</v>
      </c>
      <c r="E23" s="149" t="s">
        <v>926</v>
      </c>
      <c r="F23" t="s">
        <v>927</v>
      </c>
      <c r="G23" t="s">
        <v>209</v>
      </c>
      <c r="H23" t="s">
        <v>714</v>
      </c>
      <c r="I23" t="s">
        <v>876</v>
      </c>
      <c r="J23" t="e">
        <f>VLOOKUP(F23,Registrations!G:G,1,0)</f>
        <v>#N/A</v>
      </c>
      <c r="K23" s="59" t="s">
        <v>863</v>
      </c>
    </row>
    <row r="24" spans="2:11">
      <c r="B24" s="147">
        <v>22</v>
      </c>
      <c r="C24" s="158" t="s">
        <v>928</v>
      </c>
      <c r="D24" s="148" t="s">
        <v>885</v>
      </c>
      <c r="E24" s="149" t="s">
        <v>874</v>
      </c>
      <c r="F24" t="s">
        <v>295</v>
      </c>
      <c r="G24" t="s">
        <v>137</v>
      </c>
      <c r="H24" t="s">
        <v>296</v>
      </c>
      <c r="I24" t="s">
        <v>876</v>
      </c>
      <c r="J24" t="str">
        <f>VLOOKUP(F24,Registrations!G:G,1,0)</f>
        <v>dbroy@cse.iitk.ac.in</v>
      </c>
      <c r="K24" t="str">
        <f t="shared" si="0"/>
        <v>Yes</v>
      </c>
    </row>
    <row r="25" spans="2:11">
      <c r="B25" s="147">
        <v>23</v>
      </c>
      <c r="C25" s="158" t="s">
        <v>929</v>
      </c>
      <c r="D25" s="148" t="s">
        <v>885</v>
      </c>
      <c r="E25" s="149" t="s">
        <v>930</v>
      </c>
      <c r="F25" t="s">
        <v>931</v>
      </c>
      <c r="G25" t="s">
        <v>137</v>
      </c>
      <c r="H25" t="s">
        <v>296</v>
      </c>
      <c r="I25" t="s">
        <v>876</v>
      </c>
      <c r="J25" t="e">
        <f>VLOOKUP(F25,Registrations!G:G,1,0)</f>
        <v>#N/A</v>
      </c>
      <c r="K25" s="59" t="s">
        <v>863</v>
      </c>
    </row>
    <row r="26" spans="2:11">
      <c r="B26" s="147">
        <v>24</v>
      </c>
      <c r="C26" s="158" t="s">
        <v>932</v>
      </c>
      <c r="D26" s="148" t="s">
        <v>885</v>
      </c>
      <c r="E26" s="149" t="s">
        <v>933</v>
      </c>
      <c r="F26" t="s">
        <v>934</v>
      </c>
      <c r="G26" t="s">
        <v>137</v>
      </c>
      <c r="H26" t="s">
        <v>296</v>
      </c>
      <c r="I26" t="s">
        <v>876</v>
      </c>
      <c r="J26" t="str">
        <f>VLOOKUP(F26,Registrations!G:G,1,0)</f>
        <v>dhiman@iitbhilai.ac.in</v>
      </c>
      <c r="K26" t="str">
        <f t="shared" si="0"/>
        <v>Yes</v>
      </c>
    </row>
    <row r="27" spans="2:11">
      <c r="B27" s="147">
        <v>25</v>
      </c>
      <c r="C27" s="158" t="s">
        <v>935</v>
      </c>
      <c r="D27" s="148" t="s">
        <v>936</v>
      </c>
      <c r="E27" s="149" t="s">
        <v>937</v>
      </c>
      <c r="F27" t="s">
        <v>450</v>
      </c>
      <c r="G27" t="s">
        <v>144</v>
      </c>
      <c r="H27" t="s">
        <v>245</v>
      </c>
      <c r="I27" t="s">
        <v>876</v>
      </c>
      <c r="J27" t="str">
        <f>VLOOKUP(F27,Registrations!G:G,1,0)</f>
        <v>raji@tifrh.res.in</v>
      </c>
      <c r="K27" t="str">
        <f t="shared" si="0"/>
        <v>Yes</v>
      </c>
    </row>
    <row r="28" spans="2:11" ht="12.65" hidden="1">
      <c r="B28" s="147">
        <v>26</v>
      </c>
      <c r="C28" s="148" t="s">
        <v>938</v>
      </c>
      <c r="D28" s="148" t="s">
        <v>873</v>
      </c>
      <c r="E28" s="149" t="s">
        <v>874</v>
      </c>
      <c r="F28" t="s">
        <v>939</v>
      </c>
      <c r="G28" t="s">
        <v>144</v>
      </c>
      <c r="H28" t="s">
        <v>940</v>
      </c>
      <c r="I28" t="s">
        <v>876</v>
      </c>
      <c r="J28" t="e">
        <f>VLOOKUP(F28,Registrations!G:G,1,0)</f>
        <v>#N/A</v>
      </c>
      <c r="K28" t="str">
        <f t="shared" si="0"/>
        <v>No</v>
      </c>
    </row>
    <row r="29" spans="2:11">
      <c r="B29" s="147">
        <v>27</v>
      </c>
      <c r="C29" s="158" t="s">
        <v>941</v>
      </c>
      <c r="D29" s="148" t="s">
        <v>881</v>
      </c>
      <c r="E29" s="149" t="s">
        <v>387</v>
      </c>
      <c r="F29" t="s">
        <v>389</v>
      </c>
      <c r="G29" t="s">
        <v>144</v>
      </c>
      <c r="H29" t="s">
        <v>940</v>
      </c>
      <c r="I29" t="s">
        <v>876</v>
      </c>
      <c r="J29" t="str">
        <f>VLOOKUP(F29,Registrations!G:G,1,0)</f>
        <v>girishk@iitrpr.ac.in</v>
      </c>
      <c r="K29" t="str">
        <f t="shared" si="0"/>
        <v>Yes</v>
      </c>
    </row>
    <row r="30" spans="2:11" ht="12.65" hidden="1">
      <c r="B30" s="147">
        <v>28</v>
      </c>
      <c r="C30" s="148" t="s">
        <v>942</v>
      </c>
      <c r="D30" s="148" t="s">
        <v>943</v>
      </c>
      <c r="E30" s="149" t="s">
        <v>944</v>
      </c>
      <c r="F30" s="60" t="s">
        <v>945</v>
      </c>
      <c r="G30" s="59" t="s">
        <v>137</v>
      </c>
      <c r="H30" s="59" t="s">
        <v>911</v>
      </c>
      <c r="I30" s="59" t="s">
        <v>876</v>
      </c>
      <c r="J30" t="e">
        <f>VLOOKUP(F30,Registrations!G:G,1,0)</f>
        <v>#N/A</v>
      </c>
      <c r="K30" t="str">
        <f t="shared" si="0"/>
        <v>No</v>
      </c>
    </row>
    <row r="31" spans="2:11">
      <c r="B31" s="147">
        <v>29</v>
      </c>
      <c r="C31" s="158" t="s">
        <v>946</v>
      </c>
      <c r="D31" s="148" t="s">
        <v>881</v>
      </c>
      <c r="E31" s="148" t="s">
        <v>947</v>
      </c>
      <c r="F31" t="s">
        <v>723</v>
      </c>
      <c r="G31" t="s">
        <v>174</v>
      </c>
      <c r="H31" t="s">
        <v>408</v>
      </c>
      <c r="I31" t="s">
        <v>876</v>
      </c>
      <c r="J31" t="str">
        <f>VLOOKUP(F31,Registrations!G:G,1,0)</f>
        <v>kanhaiyapandey@iitg.ac.in</v>
      </c>
      <c r="K31" t="str">
        <f t="shared" si="0"/>
        <v>Yes</v>
      </c>
    </row>
    <row r="32" spans="2:11">
      <c r="B32" s="147">
        <v>30</v>
      </c>
      <c r="C32" s="158" t="s">
        <v>948</v>
      </c>
      <c r="D32" s="148" t="s">
        <v>873</v>
      </c>
      <c r="E32" s="149" t="s">
        <v>161</v>
      </c>
      <c r="F32" t="s">
        <v>274</v>
      </c>
      <c r="G32" t="s">
        <v>144</v>
      </c>
      <c r="H32" t="s">
        <v>904</v>
      </c>
      <c r="I32" t="s">
        <v>921</v>
      </c>
      <c r="J32" t="str">
        <f>VLOOKUP(F32,Registrations!G:G,1,0)</f>
        <v>pic@qmettech.com</v>
      </c>
      <c r="K32" t="str">
        <f t="shared" si="0"/>
        <v>Yes</v>
      </c>
    </row>
    <row r="33" spans="2:11" ht="12.65" hidden="1">
      <c r="B33" s="147">
        <v>31</v>
      </c>
      <c r="C33" s="148" t="s">
        <v>949</v>
      </c>
      <c r="D33" s="148" t="s">
        <v>873</v>
      </c>
      <c r="E33" s="148" t="s">
        <v>402</v>
      </c>
      <c r="F33" t="s">
        <v>950</v>
      </c>
      <c r="G33" t="s">
        <v>174</v>
      </c>
      <c r="H33" t="s">
        <v>202</v>
      </c>
      <c r="I33" t="s">
        <v>876</v>
      </c>
      <c r="J33" t="e">
        <f>VLOOKUP(F33,Registrations!G:G,1,0)</f>
        <v>#N/A</v>
      </c>
      <c r="K33" t="str">
        <f t="shared" si="0"/>
        <v>No</v>
      </c>
    </row>
    <row r="34" spans="2:11">
      <c r="B34" s="147">
        <v>32</v>
      </c>
      <c r="C34" s="158" t="s">
        <v>951</v>
      </c>
      <c r="D34" s="148" t="s">
        <v>881</v>
      </c>
      <c r="E34" s="148" t="s">
        <v>888</v>
      </c>
      <c r="F34" t="s">
        <v>512</v>
      </c>
      <c r="G34" t="s">
        <v>174</v>
      </c>
      <c r="H34" t="s">
        <v>486</v>
      </c>
      <c r="I34" t="s">
        <v>876</v>
      </c>
      <c r="J34" t="str">
        <f>VLOOKUP(F34,Registrations!G:G,1,0)</f>
        <v>madhu@iisertvm.ac.in</v>
      </c>
      <c r="K34" t="str">
        <f t="shared" si="0"/>
        <v>Yes</v>
      </c>
    </row>
    <row r="35" spans="2:11" ht="12.65" hidden="1">
      <c r="B35" s="147">
        <v>33</v>
      </c>
      <c r="C35" s="148" t="s">
        <v>952</v>
      </c>
      <c r="D35" s="148" t="s">
        <v>953</v>
      </c>
      <c r="E35" s="149" t="s">
        <v>954</v>
      </c>
      <c r="F35" t="s">
        <v>955</v>
      </c>
      <c r="G35" t="s">
        <v>144</v>
      </c>
      <c r="H35" t="s">
        <v>940</v>
      </c>
      <c r="I35" t="s">
        <v>876</v>
      </c>
      <c r="J35" t="e">
        <f>VLOOKUP(F35,Registrations!G:G,1,0)</f>
        <v>#N/A</v>
      </c>
      <c r="K35" t="str">
        <f t="shared" si="0"/>
        <v>No</v>
      </c>
    </row>
    <row r="36" spans="2:11">
      <c r="B36" s="147">
        <v>34</v>
      </c>
      <c r="C36" s="158" t="s">
        <v>956</v>
      </c>
      <c r="D36" s="148" t="s">
        <v>957</v>
      </c>
      <c r="E36" s="149" t="s">
        <v>930</v>
      </c>
      <c r="F36" t="s">
        <v>958</v>
      </c>
      <c r="G36" t="s">
        <v>209</v>
      </c>
      <c r="H36" t="s">
        <v>217</v>
      </c>
      <c r="I36" t="s">
        <v>876</v>
      </c>
      <c r="J36" t="e">
        <f>VLOOKUP(F36,Registrations!G:G,1,0)</f>
        <v>#N/A</v>
      </c>
      <c r="K36" t="s">
        <v>863</v>
      </c>
    </row>
    <row r="37" spans="2:11">
      <c r="B37" s="147">
        <v>35</v>
      </c>
      <c r="C37" s="158" t="s">
        <v>959</v>
      </c>
      <c r="D37" s="148" t="s">
        <v>873</v>
      </c>
      <c r="E37" s="149" t="s">
        <v>960</v>
      </c>
      <c r="F37" t="s">
        <v>961</v>
      </c>
      <c r="G37" t="s">
        <v>137</v>
      </c>
      <c r="H37" t="s">
        <v>230</v>
      </c>
      <c r="I37" t="s">
        <v>876</v>
      </c>
      <c r="J37" t="e">
        <f>VLOOKUP(F37,Registrations!G:G,1,0)</f>
        <v>#N/A</v>
      </c>
      <c r="K37" t="s">
        <v>863</v>
      </c>
    </row>
    <row r="38" spans="2:11">
      <c r="B38" s="147">
        <v>36</v>
      </c>
      <c r="C38" s="158" t="s">
        <v>962</v>
      </c>
      <c r="D38" s="148" t="s">
        <v>963</v>
      </c>
      <c r="E38" s="148" t="s">
        <v>964</v>
      </c>
      <c r="F38" t="s">
        <v>227</v>
      </c>
      <c r="G38" t="s">
        <v>174</v>
      </c>
      <c r="H38" t="s">
        <v>230</v>
      </c>
      <c r="I38" t="s">
        <v>876</v>
      </c>
      <c r="J38" t="str">
        <f>VLOOKUP(F38,Registrations!G:G,1,0)</f>
        <v>natarajan@setsindia.net</v>
      </c>
      <c r="K38" t="str">
        <f t="shared" si="0"/>
        <v>Yes</v>
      </c>
    </row>
    <row r="39" spans="2:11">
      <c r="B39" s="147">
        <v>37</v>
      </c>
      <c r="C39" s="158" t="s">
        <v>965</v>
      </c>
      <c r="D39" s="148" t="s">
        <v>966</v>
      </c>
      <c r="E39" s="149" t="s">
        <v>402</v>
      </c>
      <c r="F39" t="s">
        <v>157</v>
      </c>
      <c r="G39" t="s">
        <v>137</v>
      </c>
      <c r="H39" t="s">
        <v>364</v>
      </c>
      <c r="I39" t="s">
        <v>921</v>
      </c>
      <c r="J39" t="str">
        <f>VLOOKUP(F39,Registrations!G:G,1,0)</f>
        <v>neelkanth@iitd.ac.in</v>
      </c>
      <c r="K39" t="str">
        <f t="shared" si="0"/>
        <v>Yes</v>
      </c>
    </row>
    <row r="40" spans="2:11">
      <c r="B40" s="147">
        <v>38</v>
      </c>
      <c r="C40" s="158" t="s">
        <v>967</v>
      </c>
      <c r="D40" s="148" t="s">
        <v>913</v>
      </c>
      <c r="E40" s="149" t="s">
        <v>402</v>
      </c>
      <c r="F40" t="s">
        <v>968</v>
      </c>
      <c r="G40" t="s">
        <v>137</v>
      </c>
      <c r="H40" t="s">
        <v>364</v>
      </c>
      <c r="I40" t="s">
        <v>921</v>
      </c>
      <c r="J40" t="e">
        <f>VLOOKUP(F40,Registrations!G:G,1,0)</f>
        <v>#N/A</v>
      </c>
      <c r="K40" t="s">
        <v>863</v>
      </c>
    </row>
    <row r="41" spans="2:11">
      <c r="B41" s="147">
        <v>39</v>
      </c>
      <c r="C41" s="158" t="s">
        <v>969</v>
      </c>
      <c r="D41" s="148" t="s">
        <v>881</v>
      </c>
      <c r="E41" s="149" t="s">
        <v>894</v>
      </c>
      <c r="F41" t="s">
        <v>243</v>
      </c>
      <c r="G41" t="s">
        <v>144</v>
      </c>
      <c r="H41" t="s">
        <v>245</v>
      </c>
      <c r="I41" t="s">
        <v>876</v>
      </c>
      <c r="J41" t="str">
        <f>VLOOKUP(F41,Registrations!G:G,1,0)</f>
        <v>phani@iiserb.ac.in</v>
      </c>
      <c r="K41" t="str">
        <f t="shared" si="0"/>
        <v>Yes</v>
      </c>
    </row>
    <row r="42" spans="2:11">
      <c r="B42" s="147">
        <v>40</v>
      </c>
      <c r="C42" s="158" t="s">
        <v>970</v>
      </c>
      <c r="D42" s="148" t="s">
        <v>881</v>
      </c>
      <c r="E42" s="148" t="s">
        <v>971</v>
      </c>
      <c r="F42" t="s">
        <v>460</v>
      </c>
      <c r="G42" t="s">
        <v>174</v>
      </c>
      <c r="H42" t="s">
        <v>461</v>
      </c>
      <c r="I42" t="s">
        <v>876</v>
      </c>
      <c r="J42" t="str">
        <f>VLOOKUP(F42,Registrations!G:G,1,0)</f>
        <v>prabhamd@physics.iitm.ac.in</v>
      </c>
      <c r="K42" t="str">
        <f t="shared" si="0"/>
        <v>Yes</v>
      </c>
    </row>
    <row r="43" spans="2:11" s="108" customFormat="1" ht="12.65" hidden="1">
      <c r="B43" s="153">
        <v>41</v>
      </c>
      <c r="C43" s="154" t="s">
        <v>972</v>
      </c>
      <c r="D43" s="154" t="s">
        <v>873</v>
      </c>
      <c r="E43" s="155" t="s">
        <v>971</v>
      </c>
      <c r="F43" s="108" t="s">
        <v>973</v>
      </c>
      <c r="G43" s="108" t="s">
        <v>974</v>
      </c>
      <c r="H43" s="108" t="s">
        <v>974</v>
      </c>
      <c r="I43" s="108" t="s">
        <v>974</v>
      </c>
      <c r="J43" t="e">
        <f>VLOOKUP(F43,Registrations!G:G,1,0)</f>
        <v>#N/A</v>
      </c>
      <c r="K43" t="str">
        <f t="shared" si="0"/>
        <v>No</v>
      </c>
    </row>
    <row r="44" spans="2:11">
      <c r="B44" s="147">
        <v>42</v>
      </c>
      <c r="C44" s="158" t="s">
        <v>975</v>
      </c>
      <c r="D44" s="148" t="s">
        <v>976</v>
      </c>
      <c r="E44" s="149" t="s">
        <v>930</v>
      </c>
      <c r="F44" t="s">
        <v>977</v>
      </c>
      <c r="G44" t="s">
        <v>209</v>
      </c>
      <c r="H44" t="s">
        <v>210</v>
      </c>
      <c r="I44" t="s">
        <v>876</v>
      </c>
      <c r="J44" t="e">
        <f>VLOOKUP(F44,Registrations!G:G,1,0)</f>
        <v>#N/A</v>
      </c>
      <c r="K44" t="s">
        <v>863</v>
      </c>
    </row>
    <row r="45" spans="2:11">
      <c r="B45" s="147">
        <v>43</v>
      </c>
      <c r="C45" s="158" t="s">
        <v>978</v>
      </c>
      <c r="D45" s="148" t="s">
        <v>878</v>
      </c>
      <c r="E45" s="149" t="s">
        <v>879</v>
      </c>
      <c r="F45" t="s">
        <v>495</v>
      </c>
      <c r="G45" t="s">
        <v>144</v>
      </c>
      <c r="H45" t="s">
        <v>245</v>
      </c>
      <c r="I45" t="s">
        <v>876</v>
      </c>
      <c r="J45" t="str">
        <f>VLOOKUP(F45,Registrations!G:G,1,0)</f>
        <v>prosenjits@iisc.ac.in</v>
      </c>
      <c r="K45" t="str">
        <f t="shared" si="0"/>
        <v>Yes</v>
      </c>
    </row>
    <row r="46" spans="2:11">
      <c r="B46" s="147">
        <v>44</v>
      </c>
      <c r="C46" s="158" t="s">
        <v>979</v>
      </c>
      <c r="D46" s="148" t="s">
        <v>881</v>
      </c>
      <c r="E46" s="149" t="s">
        <v>980</v>
      </c>
      <c r="F46" t="s">
        <v>651</v>
      </c>
      <c r="G46" t="s">
        <v>137</v>
      </c>
      <c r="H46" t="s">
        <v>420</v>
      </c>
      <c r="I46" t="s">
        <v>876</v>
      </c>
      <c r="J46" t="str">
        <f>VLOOKUP(F46,Registrations!G:G,1,0)</f>
        <v>raghavanke@iitp.ac.in</v>
      </c>
      <c r="K46" t="str">
        <f t="shared" si="0"/>
        <v>Yes</v>
      </c>
    </row>
    <row r="47" spans="2:11">
      <c r="B47" s="147">
        <v>45</v>
      </c>
      <c r="C47" s="158" t="s">
        <v>981</v>
      </c>
      <c r="D47" s="148" t="s">
        <v>873</v>
      </c>
      <c r="E47" s="148" t="s">
        <v>161</v>
      </c>
      <c r="F47" t="s">
        <v>485</v>
      </c>
      <c r="G47" t="s">
        <v>819</v>
      </c>
      <c r="H47" t="s">
        <v>982</v>
      </c>
      <c r="I47" t="s">
        <v>876</v>
      </c>
      <c r="J47" t="str">
        <f>VLOOKUP(F47,Registrations!G:G,1,0)</f>
        <v>rahuls_ee@iitb.ac.in</v>
      </c>
      <c r="K47" t="str">
        <f t="shared" si="0"/>
        <v>Yes</v>
      </c>
    </row>
    <row r="48" spans="2:11">
      <c r="B48" s="147">
        <v>46</v>
      </c>
      <c r="C48" s="158" t="s">
        <v>983</v>
      </c>
      <c r="D48" s="148" t="s">
        <v>984</v>
      </c>
      <c r="E48" s="148" t="s">
        <v>985</v>
      </c>
      <c r="F48" t="s">
        <v>986</v>
      </c>
      <c r="G48" t="s">
        <v>174</v>
      </c>
      <c r="H48" t="s">
        <v>461</v>
      </c>
      <c r="I48" t="s">
        <v>921</v>
      </c>
      <c r="J48" t="e">
        <f>VLOOKUP(F48,Registrations!G:G,1,0)</f>
        <v>#N/A</v>
      </c>
      <c r="K48" s="59" t="s">
        <v>863</v>
      </c>
    </row>
    <row r="49" spans="2:11">
      <c r="B49" s="147">
        <v>47</v>
      </c>
      <c r="C49" s="158" t="s">
        <v>987</v>
      </c>
      <c r="D49" s="148" t="s">
        <v>881</v>
      </c>
      <c r="E49" s="149" t="s">
        <v>891</v>
      </c>
      <c r="F49" t="s">
        <v>988</v>
      </c>
      <c r="G49" t="s">
        <v>209</v>
      </c>
      <c r="H49" t="s">
        <v>217</v>
      </c>
      <c r="I49" t="s">
        <v>876</v>
      </c>
      <c r="J49" t="e">
        <f>VLOOKUP(F49,Registrations!G:G,1,0)</f>
        <v>#N/A</v>
      </c>
      <c r="K49" t="s">
        <v>863</v>
      </c>
    </row>
    <row r="50" spans="2:11">
      <c r="B50" s="147">
        <v>48</v>
      </c>
      <c r="C50" s="158" t="s">
        <v>989</v>
      </c>
      <c r="D50" s="148" t="s">
        <v>873</v>
      </c>
      <c r="E50" s="148" t="s">
        <v>402</v>
      </c>
      <c r="F50" t="s">
        <v>990</v>
      </c>
      <c r="G50" s="156" t="s">
        <v>174</v>
      </c>
      <c r="H50" t="s">
        <v>202</v>
      </c>
      <c r="I50" t="s">
        <v>876</v>
      </c>
      <c r="J50" t="e">
        <f>VLOOKUP(F50,Registrations!G:G,1,0)</f>
        <v>#N/A</v>
      </c>
      <c r="K50" t="s">
        <v>991</v>
      </c>
    </row>
    <row r="51" spans="2:11">
      <c r="B51" s="147">
        <v>49</v>
      </c>
      <c r="C51" s="158" t="s">
        <v>992</v>
      </c>
      <c r="D51" s="148" t="s">
        <v>881</v>
      </c>
      <c r="E51" s="148" t="s">
        <v>993</v>
      </c>
      <c r="F51" t="s">
        <v>843</v>
      </c>
      <c r="G51" s="156" t="s">
        <v>174</v>
      </c>
      <c r="H51" t="s">
        <v>408</v>
      </c>
      <c r="I51" t="s">
        <v>876</v>
      </c>
      <c r="J51" t="str">
        <f>VLOOKUP(F51,Registrations!G:G,1,0)</f>
        <v>rejish@iiserpune.ac.in</v>
      </c>
      <c r="K51" t="str">
        <f t="shared" si="0"/>
        <v>Yes</v>
      </c>
    </row>
    <row r="52" spans="2:11">
      <c r="B52" s="147">
        <v>50</v>
      </c>
      <c r="C52" s="158" t="s">
        <v>994</v>
      </c>
      <c r="D52" s="148" t="s">
        <v>873</v>
      </c>
      <c r="E52" s="149" t="s">
        <v>874</v>
      </c>
      <c r="F52" t="s">
        <v>379</v>
      </c>
      <c r="G52" t="s">
        <v>144</v>
      </c>
      <c r="H52" t="s">
        <v>245</v>
      </c>
      <c r="I52" t="s">
        <v>876</v>
      </c>
      <c r="J52" t="str">
        <f>VLOOKUP(F52,Registrations!G:G,1,0)</f>
        <v>rituraj@iitk.ac.in</v>
      </c>
      <c r="K52" t="str">
        <f t="shared" si="0"/>
        <v>Yes</v>
      </c>
    </row>
    <row r="53" spans="2:11">
      <c r="B53" s="147">
        <v>51</v>
      </c>
      <c r="C53" s="158" t="s">
        <v>995</v>
      </c>
      <c r="D53" s="148" t="s">
        <v>873</v>
      </c>
      <c r="E53" s="149" t="s">
        <v>996</v>
      </c>
      <c r="F53" t="s">
        <v>997</v>
      </c>
      <c r="G53" t="s">
        <v>137</v>
      </c>
      <c r="H53" t="s">
        <v>364</v>
      </c>
      <c r="I53" t="s">
        <v>876</v>
      </c>
      <c r="J53" t="str">
        <f>VLOOKUP(F53,Registrations!G:G,1,0)</f>
        <v>rohit.chaurasiya@iitjammu.ac.in</v>
      </c>
      <c r="K53" t="str">
        <f t="shared" si="0"/>
        <v>Yes</v>
      </c>
    </row>
    <row r="54" spans="2:11">
      <c r="B54" s="147">
        <v>52</v>
      </c>
      <c r="C54" s="158" t="s">
        <v>998</v>
      </c>
      <c r="D54" s="148" t="s">
        <v>881</v>
      </c>
      <c r="E54" s="148" t="s">
        <v>161</v>
      </c>
      <c r="F54" t="s">
        <v>999</v>
      </c>
      <c r="G54" t="s">
        <v>174</v>
      </c>
      <c r="H54" t="s">
        <v>461</v>
      </c>
      <c r="I54" t="s">
        <v>876</v>
      </c>
      <c r="J54" t="e">
        <f>VLOOKUP(F54,Registrations!G:G,1,0)</f>
        <v>#N/A</v>
      </c>
      <c r="K54" t="s">
        <v>991</v>
      </c>
    </row>
    <row r="55" spans="2:11">
      <c r="B55" s="147">
        <v>53</v>
      </c>
      <c r="C55" s="158" t="s">
        <v>1000</v>
      </c>
      <c r="D55" s="148" t="s">
        <v>881</v>
      </c>
      <c r="E55" s="149" t="s">
        <v>874</v>
      </c>
      <c r="F55" s="60" t="s">
        <v>319</v>
      </c>
      <c r="G55" t="s">
        <v>144</v>
      </c>
      <c r="H55" t="s">
        <v>245</v>
      </c>
      <c r="I55" t="s">
        <v>974</v>
      </c>
      <c r="J55" t="str">
        <f>VLOOKUP(F55,Registrations!G:G,1,0)</f>
        <v>gsaikat@iitk.ac.in</v>
      </c>
      <c r="K55" t="str">
        <f t="shared" si="0"/>
        <v>Yes</v>
      </c>
    </row>
    <row r="56" spans="2:11">
      <c r="B56" s="147">
        <v>54</v>
      </c>
      <c r="C56" s="158" t="s">
        <v>1001</v>
      </c>
      <c r="D56" s="148" t="s">
        <v>1002</v>
      </c>
      <c r="E56" s="149" t="s">
        <v>1003</v>
      </c>
      <c r="F56" t="s">
        <v>609</v>
      </c>
      <c r="G56" t="s">
        <v>137</v>
      </c>
      <c r="H56" t="s">
        <v>420</v>
      </c>
      <c r="I56" t="s">
        <v>876</v>
      </c>
      <c r="J56" t="str">
        <f>VLOOKUP(F56,Registrations!G:G,1,0)</f>
        <v>skgoyal@iisermohali.ac.in</v>
      </c>
      <c r="K56" t="str">
        <f t="shared" si="0"/>
        <v>Yes</v>
      </c>
    </row>
    <row r="57" spans="2:11" ht="12.65" hidden="1">
      <c r="B57" s="147">
        <v>55</v>
      </c>
      <c r="C57" s="148" t="s">
        <v>1004</v>
      </c>
      <c r="D57" s="148" t="s">
        <v>896</v>
      </c>
      <c r="E57" s="149" t="s">
        <v>891</v>
      </c>
      <c r="F57" t="s">
        <v>1005</v>
      </c>
      <c r="G57" t="s">
        <v>137</v>
      </c>
      <c r="H57" t="s">
        <v>364</v>
      </c>
      <c r="I57" t="s">
        <v>876</v>
      </c>
      <c r="J57" t="e">
        <f>VLOOKUP(F57,Registrations!G:G,1,0)</f>
        <v>#N/A</v>
      </c>
      <c r="K57" t="str">
        <f t="shared" si="0"/>
        <v>No</v>
      </c>
    </row>
    <row r="58" spans="2:11">
      <c r="B58" s="147">
        <v>56</v>
      </c>
      <c r="C58" s="158" t="s">
        <v>1006</v>
      </c>
      <c r="D58" s="148" t="s">
        <v>881</v>
      </c>
      <c r="E58" s="149" t="s">
        <v>1007</v>
      </c>
      <c r="F58" t="s">
        <v>290</v>
      </c>
      <c r="G58" t="s">
        <v>144</v>
      </c>
      <c r="H58" t="s">
        <v>245</v>
      </c>
      <c r="I58" t="s">
        <v>876</v>
      </c>
      <c r="J58" t="str">
        <f>VLOOKUP(F58,Registrations!G:G,1,0)</f>
        <v>sanjibd@goa.bits-pilani.ac.in</v>
      </c>
      <c r="K58" t="str">
        <f t="shared" si="0"/>
        <v>Yes</v>
      </c>
    </row>
    <row r="59" spans="2:11">
      <c r="B59" s="147">
        <v>57</v>
      </c>
      <c r="C59" s="158" t="s">
        <v>1008</v>
      </c>
      <c r="D59" s="148" t="s">
        <v>893</v>
      </c>
      <c r="E59" s="149" t="s">
        <v>894</v>
      </c>
      <c r="F59" t="s">
        <v>256</v>
      </c>
      <c r="G59" t="s">
        <v>144</v>
      </c>
      <c r="H59" t="s">
        <v>904</v>
      </c>
      <c r="I59" t="s">
        <v>876</v>
      </c>
      <c r="J59" t="str">
        <f>VLOOKUP(F59,Registrations!G:G,1,0)</f>
        <v>santanu@iiserb.ac.in</v>
      </c>
      <c r="K59" t="str">
        <f t="shared" si="0"/>
        <v>Yes</v>
      </c>
    </row>
    <row r="60" spans="2:11" ht="12.65" hidden="1">
      <c r="B60" s="147">
        <v>58</v>
      </c>
      <c r="C60" s="148" t="s">
        <v>1009</v>
      </c>
      <c r="D60" s="148" t="s">
        <v>1010</v>
      </c>
      <c r="E60" s="148" t="s">
        <v>874</v>
      </c>
      <c r="F60" t="s">
        <v>1011</v>
      </c>
      <c r="G60" t="s">
        <v>174</v>
      </c>
      <c r="H60" t="s">
        <v>408</v>
      </c>
      <c r="I60" t="s">
        <v>876</v>
      </c>
      <c r="J60" t="e">
        <f>VLOOKUP(F60,Registrations!G:G,1,0)</f>
        <v>#N/A</v>
      </c>
      <c r="K60" t="str">
        <f t="shared" si="0"/>
        <v>No</v>
      </c>
    </row>
    <row r="61" spans="2:11">
      <c r="B61" s="147">
        <v>59</v>
      </c>
      <c r="C61" s="158" t="s">
        <v>1012</v>
      </c>
      <c r="D61" s="148" t="s">
        <v>1013</v>
      </c>
      <c r="E61" s="148" t="s">
        <v>1014</v>
      </c>
      <c r="F61" t="s">
        <v>567</v>
      </c>
      <c r="G61" t="s">
        <v>174</v>
      </c>
      <c r="H61" t="s">
        <v>408</v>
      </c>
      <c r="I61" t="s">
        <v>921</v>
      </c>
      <c r="J61" t="str">
        <f>VLOOKUP(F61,Registrations!G:G,1,0)</f>
        <v>srishic@rri.res.in</v>
      </c>
      <c r="K61" t="str">
        <f t="shared" si="0"/>
        <v>Yes</v>
      </c>
    </row>
    <row r="62" spans="2:11">
      <c r="B62" s="147">
        <v>60</v>
      </c>
      <c r="C62" s="158" t="s">
        <v>1015</v>
      </c>
      <c r="D62" s="148" t="s">
        <v>885</v>
      </c>
      <c r="E62" s="149" t="s">
        <v>930</v>
      </c>
      <c r="F62" t="s">
        <v>1016</v>
      </c>
      <c r="G62" t="s">
        <v>137</v>
      </c>
      <c r="H62" t="s">
        <v>296</v>
      </c>
      <c r="I62" t="s">
        <v>876</v>
      </c>
      <c r="J62" t="e">
        <f>VLOOKUP(F62,Registrations!G:G,1,0)</f>
        <v>#N/A</v>
      </c>
      <c r="K62" s="59" t="s">
        <v>863</v>
      </c>
    </row>
    <row r="63" spans="2:11">
      <c r="B63" s="147">
        <v>61</v>
      </c>
      <c r="C63" s="158" t="s">
        <v>1017</v>
      </c>
      <c r="D63" s="148" t="s">
        <v>1018</v>
      </c>
      <c r="E63" s="148" t="s">
        <v>891</v>
      </c>
      <c r="F63" t="s">
        <v>1019</v>
      </c>
      <c r="G63" t="s">
        <v>174</v>
      </c>
      <c r="H63" t="s">
        <v>202</v>
      </c>
      <c r="I63" t="s">
        <v>876</v>
      </c>
      <c r="J63" t="str">
        <f>VLOOKUP(F63,Registrations!G:G,1,0)</f>
        <v>saravana.kumar@ece.iitr.ac.in</v>
      </c>
      <c r="K63" t="s">
        <v>863</v>
      </c>
    </row>
    <row r="64" spans="2:11" ht="12.65" hidden="1">
      <c r="B64" s="147">
        <v>62</v>
      </c>
      <c r="C64" s="148" t="s">
        <v>1020</v>
      </c>
      <c r="D64" s="148" t="s">
        <v>881</v>
      </c>
      <c r="E64" s="149" t="s">
        <v>1021</v>
      </c>
      <c r="F64" t="s">
        <v>1022</v>
      </c>
      <c r="G64" t="s">
        <v>144</v>
      </c>
      <c r="H64" t="s">
        <v>245</v>
      </c>
      <c r="I64" t="s">
        <v>876</v>
      </c>
      <c r="J64" t="e">
        <f>VLOOKUP(F64,Registrations!G:G,1,0)</f>
        <v>#N/A</v>
      </c>
      <c r="K64" t="str">
        <f t="shared" si="0"/>
        <v>No</v>
      </c>
    </row>
    <row r="65" spans="2:11">
      <c r="B65" s="147">
        <v>63</v>
      </c>
      <c r="C65" s="158" t="s">
        <v>1023</v>
      </c>
      <c r="D65" s="148" t="s">
        <v>1024</v>
      </c>
      <c r="E65" s="149" t="s">
        <v>1025</v>
      </c>
      <c r="F65" s="60" t="s">
        <v>1026</v>
      </c>
      <c r="G65" t="s">
        <v>137</v>
      </c>
      <c r="H65" t="s">
        <v>521</v>
      </c>
      <c r="I65" t="s">
        <v>921</v>
      </c>
      <c r="J65" t="e">
        <f>VLOOKUP(F65,Registrations!G:G,1,0)</f>
        <v>#N/A</v>
      </c>
      <c r="K65" t="s">
        <v>863</v>
      </c>
    </row>
    <row r="66" spans="2:11" ht="12.65" hidden="1">
      <c r="B66" s="147">
        <v>64</v>
      </c>
      <c r="C66" s="148" t="s">
        <v>1027</v>
      </c>
      <c r="D66" s="148" t="s">
        <v>873</v>
      </c>
      <c r="E66" s="149" t="s">
        <v>874</v>
      </c>
      <c r="F66" t="s">
        <v>1028</v>
      </c>
      <c r="G66" t="s">
        <v>144</v>
      </c>
      <c r="H66" t="s">
        <v>245</v>
      </c>
      <c r="I66" t="s">
        <v>876</v>
      </c>
      <c r="J66" t="e">
        <f>VLOOKUP(F66,Registrations!G:G,1,0)</f>
        <v>#N/A</v>
      </c>
      <c r="K66" t="str">
        <f t="shared" si="0"/>
        <v>No</v>
      </c>
    </row>
    <row r="67" spans="2:11">
      <c r="B67" s="147">
        <v>65</v>
      </c>
      <c r="C67" s="158" t="s">
        <v>1029</v>
      </c>
      <c r="D67" s="148" t="s">
        <v>873</v>
      </c>
      <c r="E67" s="149" t="s">
        <v>161</v>
      </c>
      <c r="F67" t="s">
        <v>237</v>
      </c>
      <c r="G67" t="s">
        <v>144</v>
      </c>
      <c r="H67" t="s">
        <v>904</v>
      </c>
      <c r="I67" t="s">
        <v>876</v>
      </c>
      <c r="J67" t="str">
        <f>VLOOKUP(F67,Registrations!G:G,1,0)</f>
        <v>stallur@ee.iitb.ac.in</v>
      </c>
      <c r="K67" t="str">
        <f t="shared" si="0"/>
        <v>Yes</v>
      </c>
    </row>
    <row r="68" spans="2:11">
      <c r="B68" s="147">
        <v>66</v>
      </c>
      <c r="C68" s="158" t="s">
        <v>1030</v>
      </c>
      <c r="D68" s="148" t="s">
        <v>1031</v>
      </c>
      <c r="E68" s="149" t="s">
        <v>985</v>
      </c>
      <c r="F68" t="s">
        <v>330</v>
      </c>
      <c r="G68" t="s">
        <v>144</v>
      </c>
      <c r="H68" t="s">
        <v>245</v>
      </c>
      <c r="I68" t="s">
        <v>876</v>
      </c>
      <c r="J68" t="str">
        <f>VLOOKUP(F68,Registrations!G:G,1,0)</f>
        <v>sourav.dutta.mr@gmail.com</v>
      </c>
      <c r="K68" t="str">
        <f t="shared" si="0"/>
        <v>Yes</v>
      </c>
    </row>
    <row r="69" spans="2:11" ht="12.65" hidden="1">
      <c r="B69" s="147">
        <v>67</v>
      </c>
      <c r="C69" s="148" t="s">
        <v>1032</v>
      </c>
      <c r="D69" s="148" t="s">
        <v>881</v>
      </c>
      <c r="E69" s="148" t="s">
        <v>161</v>
      </c>
      <c r="F69" t="s">
        <v>1033</v>
      </c>
      <c r="G69" t="s">
        <v>174</v>
      </c>
      <c r="H69" t="s">
        <v>486</v>
      </c>
      <c r="I69" t="s">
        <v>921</v>
      </c>
      <c r="J69" t="e">
        <f>VLOOKUP(F69,Registrations!G:G,1,0)</f>
        <v>#N/A</v>
      </c>
      <c r="K69" t="str">
        <f t="shared" ref="K69:K131" si="1">IF(ISNA(J69),"No", "Yes")</f>
        <v>No</v>
      </c>
    </row>
    <row r="70" spans="2:11" ht="12.65" hidden="1">
      <c r="B70" s="147">
        <v>68</v>
      </c>
      <c r="C70" s="148" t="s">
        <v>1034</v>
      </c>
      <c r="D70" s="148" t="s">
        <v>873</v>
      </c>
      <c r="E70" s="149" t="s">
        <v>971</v>
      </c>
      <c r="F70" t="s">
        <v>1035</v>
      </c>
      <c r="G70" t="s">
        <v>144</v>
      </c>
      <c r="H70" t="s">
        <v>904</v>
      </c>
      <c r="I70" t="s">
        <v>876</v>
      </c>
      <c r="J70" t="e">
        <f>VLOOKUP(F70,Registrations!G:G,1,0)</f>
        <v>#N/A</v>
      </c>
      <c r="K70" t="str">
        <f t="shared" si="1"/>
        <v>No</v>
      </c>
    </row>
    <row r="71" spans="2:11">
      <c r="B71" s="147">
        <v>69</v>
      </c>
      <c r="C71" s="158" t="s">
        <v>1036</v>
      </c>
      <c r="D71" s="148" t="s">
        <v>881</v>
      </c>
      <c r="E71" s="149" t="s">
        <v>874</v>
      </c>
      <c r="F71" t="s">
        <v>1037</v>
      </c>
      <c r="G71" t="s">
        <v>209</v>
      </c>
      <c r="H71" t="s">
        <v>210</v>
      </c>
      <c r="I71" t="s">
        <v>876</v>
      </c>
      <c r="J71" t="str">
        <f>VLOOKUP(F71,Registrations!G:G,1,0)</f>
        <v>sudiptad@iitk.ac.in</v>
      </c>
      <c r="K71" t="str">
        <f t="shared" si="1"/>
        <v>Yes</v>
      </c>
    </row>
    <row r="72" spans="2:11" s="108" customFormat="1" ht="12.65" hidden="1">
      <c r="B72" s="153">
        <v>70</v>
      </c>
      <c r="C72" s="154" t="s">
        <v>1038</v>
      </c>
      <c r="D72" s="154" t="s">
        <v>873</v>
      </c>
      <c r="E72" s="155" t="s">
        <v>1039</v>
      </c>
      <c r="F72" s="108" t="s">
        <v>1040</v>
      </c>
      <c r="G72" s="108" t="s">
        <v>974</v>
      </c>
      <c r="H72" s="108" t="s">
        <v>974</v>
      </c>
      <c r="I72" s="108" t="s">
        <v>974</v>
      </c>
      <c r="J72" t="e">
        <f>VLOOKUP(F72,Registrations!G:G,1,0)</f>
        <v>#N/A</v>
      </c>
      <c r="K72" t="str">
        <f t="shared" si="1"/>
        <v>No</v>
      </c>
    </row>
    <row r="73" spans="2:11">
      <c r="B73" s="147">
        <v>71</v>
      </c>
      <c r="C73" s="158" t="s">
        <v>1041</v>
      </c>
      <c r="D73" s="148" t="s">
        <v>1042</v>
      </c>
      <c r="E73" s="149" t="s">
        <v>1043</v>
      </c>
      <c r="F73" t="s">
        <v>250</v>
      </c>
      <c r="G73" t="s">
        <v>144</v>
      </c>
      <c r="H73" t="s">
        <v>904</v>
      </c>
      <c r="I73" t="s">
        <v>876</v>
      </c>
      <c r="J73" t="str">
        <f>VLOOKUP(F73,Registrations!G:G,1,0)</f>
        <v>tanmoy.basu@tcgcrest.org</v>
      </c>
      <c r="K73" t="str">
        <f t="shared" si="1"/>
        <v>Yes</v>
      </c>
    </row>
    <row r="74" spans="2:11">
      <c r="B74" s="147">
        <v>72</v>
      </c>
      <c r="C74" s="158" t="s">
        <v>1044</v>
      </c>
      <c r="D74" s="148" t="s">
        <v>881</v>
      </c>
      <c r="E74" s="148" t="s">
        <v>161</v>
      </c>
      <c r="F74" t="s">
        <v>1045</v>
      </c>
      <c r="G74" t="s">
        <v>174</v>
      </c>
      <c r="H74" t="s">
        <v>486</v>
      </c>
      <c r="I74" t="s">
        <v>876</v>
      </c>
      <c r="J74" t="e">
        <f>VLOOKUP(F74,Registrations!G:G,1,0)</f>
        <v>#N/A</v>
      </c>
      <c r="K74" s="59" t="s">
        <v>863</v>
      </c>
    </row>
    <row r="75" spans="2:11">
      <c r="B75" s="147">
        <v>73</v>
      </c>
      <c r="C75" s="158" t="s">
        <v>1046</v>
      </c>
      <c r="D75" s="148" t="s">
        <v>881</v>
      </c>
      <c r="E75" s="148" t="s">
        <v>980</v>
      </c>
      <c r="F75" t="s">
        <v>832</v>
      </c>
      <c r="G75" t="s">
        <v>174</v>
      </c>
      <c r="H75" t="s">
        <v>408</v>
      </c>
      <c r="I75" t="s">
        <v>876</v>
      </c>
      <c r="J75" t="str">
        <f>VLOOKUP(F75,Registrations!G:G,1,0)</f>
        <v>uroy@iitp.ac.in</v>
      </c>
      <c r="K75" t="str">
        <f t="shared" si="1"/>
        <v>Yes</v>
      </c>
    </row>
    <row r="76" spans="2:11">
      <c r="B76" s="147">
        <v>74</v>
      </c>
      <c r="C76" s="158" t="s">
        <v>1047</v>
      </c>
      <c r="D76" s="148" t="s">
        <v>873</v>
      </c>
      <c r="E76" s="148" t="s">
        <v>161</v>
      </c>
      <c r="F76" t="s">
        <v>571</v>
      </c>
      <c r="G76" t="s">
        <v>819</v>
      </c>
      <c r="H76" t="s">
        <v>461</v>
      </c>
      <c r="I76" t="s">
        <v>876</v>
      </c>
      <c r="J76" t="str">
        <f>VLOOKUP(F76,Registrations!G:G,1,0)</f>
        <v>veeresh@iitb.ac.in</v>
      </c>
      <c r="K76" t="str">
        <f t="shared" si="1"/>
        <v>Yes</v>
      </c>
    </row>
    <row r="77" spans="2:11">
      <c r="B77" s="147">
        <v>75</v>
      </c>
      <c r="C77" s="158" t="s">
        <v>1048</v>
      </c>
      <c r="D77" s="148" t="s">
        <v>887</v>
      </c>
      <c r="E77" s="149" t="s">
        <v>411</v>
      </c>
      <c r="F77" t="s">
        <v>413</v>
      </c>
      <c r="G77" t="s">
        <v>144</v>
      </c>
      <c r="H77" t="s">
        <v>245</v>
      </c>
      <c r="I77" t="s">
        <v>876</v>
      </c>
      <c r="J77" t="str">
        <f>VLOOKUP(F77,Registrations!G:G,1,0)</f>
        <v>vmanisp@uohyd.ac.in</v>
      </c>
      <c r="K77" t="str">
        <f t="shared" si="1"/>
        <v>Yes</v>
      </c>
    </row>
    <row r="78" spans="2:11">
      <c r="B78" s="147">
        <v>76</v>
      </c>
      <c r="C78" s="158" t="s">
        <v>1049</v>
      </c>
      <c r="D78" s="148" t="s">
        <v>881</v>
      </c>
      <c r="E78" s="149" t="s">
        <v>874</v>
      </c>
      <c r="F78" t="s">
        <v>268</v>
      </c>
      <c r="G78" t="s">
        <v>144</v>
      </c>
      <c r="H78" t="s">
        <v>940</v>
      </c>
      <c r="I78" t="s">
        <v>876</v>
      </c>
      <c r="J78" t="str">
        <f>VLOOKUP(F78,Registrations!G:G,1,0)</f>
        <v>jayasurya@iitk.ac.in</v>
      </c>
      <c r="K78" t="str">
        <f t="shared" si="1"/>
        <v>Yes</v>
      </c>
    </row>
    <row r="79" spans="2:11">
      <c r="B79" s="147">
        <v>77</v>
      </c>
      <c r="C79" s="158" t="s">
        <v>1050</v>
      </c>
      <c r="D79" s="148" t="s">
        <v>881</v>
      </c>
      <c r="E79" s="148" t="s">
        <v>879</v>
      </c>
      <c r="F79" t="s">
        <v>823</v>
      </c>
      <c r="G79" t="s">
        <v>174</v>
      </c>
      <c r="H79" t="s">
        <v>461</v>
      </c>
      <c r="I79" t="s">
        <v>876</v>
      </c>
      <c r="J79" t="str">
        <f>VLOOKUP(F79,Registrations!G:G,1,0)</f>
        <v>v.singh@iisc.ac.in</v>
      </c>
      <c r="K79" t="str">
        <f t="shared" si="1"/>
        <v>Yes</v>
      </c>
    </row>
    <row r="80" spans="2:11">
      <c r="B80" s="147">
        <v>78</v>
      </c>
      <c r="C80" s="158" t="s">
        <v>1051</v>
      </c>
      <c r="D80" s="148" t="s">
        <v>881</v>
      </c>
      <c r="E80" s="149" t="s">
        <v>971</v>
      </c>
      <c r="F80" t="s">
        <v>394</v>
      </c>
      <c r="G80" t="s">
        <v>144</v>
      </c>
      <c r="H80" t="s">
        <v>904</v>
      </c>
      <c r="I80" t="s">
        <v>876</v>
      </c>
      <c r="J80" t="str">
        <f>VLOOKUP(F80,Registrations!G:G,1,0)</f>
        <v>praveen.bhallamudi@iitm.ac.in</v>
      </c>
      <c r="K80" t="str">
        <f t="shared" si="1"/>
        <v>Yes</v>
      </c>
    </row>
    <row r="81" spans="2:11" ht="12.65" hidden="1">
      <c r="B81" s="147">
        <v>79</v>
      </c>
      <c r="C81" s="148" t="s">
        <v>1052</v>
      </c>
      <c r="D81" s="148" t="s">
        <v>878</v>
      </c>
      <c r="E81" s="149" t="s">
        <v>879</v>
      </c>
      <c r="F81" t="s">
        <v>1053</v>
      </c>
      <c r="G81" t="s">
        <v>144</v>
      </c>
      <c r="H81" t="s">
        <v>904</v>
      </c>
      <c r="I81" t="s">
        <v>876</v>
      </c>
      <c r="J81" t="e">
        <f>VLOOKUP(F81,Registrations!G:G,1,0)</f>
        <v>#N/A</v>
      </c>
      <c r="K81" t="str">
        <f t="shared" si="1"/>
        <v>No</v>
      </c>
    </row>
    <row r="82" spans="2:11" ht="12.65" hidden="1">
      <c r="B82" s="147">
        <v>80</v>
      </c>
      <c r="C82" s="148" t="s">
        <v>1054</v>
      </c>
      <c r="D82" s="148"/>
      <c r="E82" s="148" t="s">
        <v>937</v>
      </c>
      <c r="F82" t="s">
        <v>1055</v>
      </c>
      <c r="G82" t="s">
        <v>174</v>
      </c>
      <c r="H82" t="s">
        <v>461</v>
      </c>
      <c r="I82" t="s">
        <v>876</v>
      </c>
      <c r="J82" t="e">
        <f>VLOOKUP(F82,Registrations!G:G,1,0)</f>
        <v>#N/A</v>
      </c>
      <c r="K82" t="str">
        <f t="shared" si="1"/>
        <v>No</v>
      </c>
    </row>
    <row r="83" spans="2:11">
      <c r="B83" s="147">
        <v>81</v>
      </c>
      <c r="C83" s="158" t="s">
        <v>1056</v>
      </c>
      <c r="D83" s="148" t="s">
        <v>1018</v>
      </c>
      <c r="E83" s="148" t="s">
        <v>891</v>
      </c>
      <c r="F83" t="s">
        <v>795</v>
      </c>
      <c r="G83" t="s">
        <v>174</v>
      </c>
      <c r="H83" t="s">
        <v>202</v>
      </c>
      <c r="I83" t="s">
        <v>876</v>
      </c>
      <c r="J83" t="str">
        <f>VLOOKUP(F83,Registrations!G:G,1,0)</f>
        <v>vishvendra@ece.iitr.ac.in</v>
      </c>
      <c r="K83" t="str">
        <f t="shared" si="1"/>
        <v>Yes</v>
      </c>
    </row>
    <row r="84" spans="2:11">
      <c r="B84" s="147">
        <v>82</v>
      </c>
      <c r="C84" s="158" t="s">
        <v>1057</v>
      </c>
      <c r="D84" s="148" t="s">
        <v>881</v>
      </c>
      <c r="E84" s="149" t="s">
        <v>387</v>
      </c>
      <c r="F84" t="s">
        <v>324</v>
      </c>
      <c r="G84" t="s">
        <v>144</v>
      </c>
      <c r="H84" t="s">
        <v>940</v>
      </c>
      <c r="I84" t="s">
        <v>876</v>
      </c>
      <c r="J84" t="str">
        <f>VLOOKUP(F84,Registrations!G:G,1,0)</f>
        <v>vishwa.pal@iitrpr.ac.in</v>
      </c>
      <c r="K84" t="str">
        <f t="shared" si="1"/>
        <v>Yes</v>
      </c>
    </row>
    <row r="85" spans="2:11" ht="12.65" hidden="1">
      <c r="B85" s="147">
        <v>83</v>
      </c>
      <c r="C85" s="148" t="s">
        <v>1058</v>
      </c>
      <c r="D85" s="148" t="s">
        <v>873</v>
      </c>
      <c r="E85" s="149" t="s">
        <v>161</v>
      </c>
      <c r="F85" t="s">
        <v>1059</v>
      </c>
      <c r="G85" t="s">
        <v>144</v>
      </c>
      <c r="H85" t="s">
        <v>904</v>
      </c>
      <c r="I85" t="s">
        <v>876</v>
      </c>
      <c r="J85" t="e">
        <f>VLOOKUP(F85,Registrations!G:G,1,0)</f>
        <v>#N/A</v>
      </c>
      <c r="K85" t="str">
        <f t="shared" si="1"/>
        <v>No</v>
      </c>
    </row>
    <row r="86" spans="2:11" ht="12.65" hidden="1">
      <c r="B86" s="147">
        <v>84</v>
      </c>
      <c r="C86" s="148" t="s">
        <v>1060</v>
      </c>
      <c r="D86" s="148" t="s">
        <v>1061</v>
      </c>
      <c r="E86" s="149" t="s">
        <v>1025</v>
      </c>
      <c r="G86" s="59" t="s">
        <v>137</v>
      </c>
      <c r="H86" s="59" t="s">
        <v>911</v>
      </c>
      <c r="I86" t="s">
        <v>876</v>
      </c>
      <c r="J86" t="e">
        <f>VLOOKUP(F86,Registrations!G:G,1,0)</f>
        <v>#N/A</v>
      </c>
      <c r="K86" t="str">
        <f t="shared" si="1"/>
        <v>No</v>
      </c>
    </row>
    <row r="87" spans="2:11" ht="12.65" hidden="1">
      <c r="B87" s="147">
        <v>85</v>
      </c>
      <c r="C87" s="148" t="s">
        <v>1062</v>
      </c>
      <c r="D87" s="148" t="s">
        <v>1063</v>
      </c>
      <c r="E87" s="149" t="s">
        <v>1025</v>
      </c>
      <c r="G87" s="59" t="s">
        <v>137</v>
      </c>
      <c r="H87" s="59" t="s">
        <v>911</v>
      </c>
      <c r="I87" t="s">
        <v>876</v>
      </c>
      <c r="J87" t="e">
        <f>VLOOKUP(F87,Registrations!G:G,1,0)</f>
        <v>#N/A</v>
      </c>
      <c r="K87" t="str">
        <f t="shared" si="1"/>
        <v>No</v>
      </c>
    </row>
    <row r="88" spans="2:11" ht="12.65" hidden="1">
      <c r="B88" s="147">
        <v>86</v>
      </c>
      <c r="C88" s="148" t="s">
        <v>1064</v>
      </c>
      <c r="D88" s="148" t="s">
        <v>1065</v>
      </c>
      <c r="E88" s="149" t="s">
        <v>944</v>
      </c>
      <c r="G88" s="59" t="s">
        <v>137</v>
      </c>
      <c r="H88" s="59" t="s">
        <v>911</v>
      </c>
      <c r="I88" t="s">
        <v>876</v>
      </c>
      <c r="J88" t="e">
        <f>VLOOKUP(F88,Registrations!G:G,1,0)</f>
        <v>#N/A</v>
      </c>
      <c r="K88" t="str">
        <f t="shared" si="1"/>
        <v>No</v>
      </c>
    </row>
    <row r="89" spans="2:11" ht="12.65" hidden="1">
      <c r="B89" s="147">
        <v>87</v>
      </c>
      <c r="C89" s="148" t="s">
        <v>1066</v>
      </c>
      <c r="D89" s="148" t="s">
        <v>1067</v>
      </c>
      <c r="E89" s="149" t="s">
        <v>1025</v>
      </c>
      <c r="G89" s="59" t="s">
        <v>137</v>
      </c>
      <c r="H89" s="59" t="s">
        <v>911</v>
      </c>
      <c r="I89" t="s">
        <v>876</v>
      </c>
      <c r="J89" t="e">
        <f>VLOOKUP(F89,Registrations!G:G,1,0)</f>
        <v>#N/A</v>
      </c>
      <c r="K89" t="str">
        <f t="shared" si="1"/>
        <v>No</v>
      </c>
    </row>
    <row r="90" spans="2:11" ht="12.65" hidden="1">
      <c r="B90" s="147">
        <v>88</v>
      </c>
      <c r="C90" s="148" t="s">
        <v>1068</v>
      </c>
      <c r="D90" s="148" t="s">
        <v>1069</v>
      </c>
      <c r="E90" s="149" t="s">
        <v>1070</v>
      </c>
      <c r="F90" t="s">
        <v>1071</v>
      </c>
      <c r="G90" t="s">
        <v>137</v>
      </c>
      <c r="H90" t="s">
        <v>230</v>
      </c>
      <c r="I90" t="s">
        <v>876</v>
      </c>
      <c r="J90" t="e">
        <f>VLOOKUP(F90,Registrations!G:G,1,0)</f>
        <v>#N/A</v>
      </c>
      <c r="K90" t="str">
        <f t="shared" si="1"/>
        <v>No</v>
      </c>
    </row>
    <row r="91" spans="2:11">
      <c r="B91" s="147">
        <v>89</v>
      </c>
      <c r="C91" s="158" t="s">
        <v>1072</v>
      </c>
      <c r="D91" s="148" t="s">
        <v>1073</v>
      </c>
      <c r="E91" s="149" t="s">
        <v>440</v>
      </c>
      <c r="F91" t="s">
        <v>438</v>
      </c>
      <c r="G91" t="s">
        <v>137</v>
      </c>
      <c r="H91" t="s">
        <v>296</v>
      </c>
      <c r="I91" t="s">
        <v>921</v>
      </c>
      <c r="J91" t="str">
        <f>VLOOKUP(F91,Registrations!G:G,1,0)</f>
        <v>dgaur@cdot.in</v>
      </c>
      <c r="K91" t="str">
        <f t="shared" si="1"/>
        <v>Yes</v>
      </c>
    </row>
    <row r="92" spans="2:11" ht="12.65" hidden="1">
      <c r="B92" s="147">
        <v>90</v>
      </c>
      <c r="C92" s="148" t="s">
        <v>1074</v>
      </c>
      <c r="D92" s="148" t="s">
        <v>1075</v>
      </c>
      <c r="E92" s="148" t="s">
        <v>1076</v>
      </c>
      <c r="F92" t="s">
        <v>1077</v>
      </c>
      <c r="G92" t="s">
        <v>174</v>
      </c>
      <c r="H92" t="s">
        <v>772</v>
      </c>
      <c r="I92" t="s">
        <v>876</v>
      </c>
      <c r="J92" t="e">
        <f>VLOOKUP(F92,Registrations!G:G,1,0)</f>
        <v>#N/A</v>
      </c>
      <c r="K92" t="str">
        <f t="shared" si="1"/>
        <v>No</v>
      </c>
    </row>
    <row r="93" spans="2:11">
      <c r="B93" s="147">
        <v>91</v>
      </c>
      <c r="C93" s="158" t="s">
        <v>1078</v>
      </c>
      <c r="D93" s="148" t="s">
        <v>1073</v>
      </c>
      <c r="E93" s="149" t="s">
        <v>440</v>
      </c>
      <c r="F93" t="s">
        <v>1079</v>
      </c>
      <c r="G93" t="s">
        <v>137</v>
      </c>
      <c r="H93" t="s">
        <v>296</v>
      </c>
      <c r="I93" t="s">
        <v>921</v>
      </c>
      <c r="J93" t="str">
        <f>VLOOKUP(F93,Registrations!G:G,1,0)</f>
        <v>prashant@cdot.in</v>
      </c>
      <c r="K93" t="str">
        <f t="shared" si="1"/>
        <v>Yes</v>
      </c>
    </row>
    <row r="94" spans="2:11">
      <c r="B94" s="147">
        <v>92</v>
      </c>
      <c r="C94" s="158" t="s">
        <v>1080</v>
      </c>
      <c r="D94" s="148" t="s">
        <v>1063</v>
      </c>
      <c r="E94" s="148" t="s">
        <v>1076</v>
      </c>
      <c r="F94" t="s">
        <v>583</v>
      </c>
      <c r="G94" t="s">
        <v>174</v>
      </c>
      <c r="H94" t="s">
        <v>787</v>
      </c>
      <c r="I94" t="s">
        <v>876</v>
      </c>
      <c r="J94" t="str">
        <f>VLOOKUP(F94,Registrations!G:G,1,0)</f>
        <v>henrys@cdac.in</v>
      </c>
      <c r="K94" t="str">
        <f t="shared" si="1"/>
        <v>Yes</v>
      </c>
    </row>
    <row r="95" spans="2:11">
      <c r="B95" s="147">
        <v>93</v>
      </c>
      <c r="C95" s="158" t="s">
        <v>1081</v>
      </c>
      <c r="D95" s="148" t="s">
        <v>1063</v>
      </c>
      <c r="E95" s="148" t="s">
        <v>1076</v>
      </c>
      <c r="F95" t="s">
        <v>618</v>
      </c>
      <c r="G95" t="s">
        <v>174</v>
      </c>
      <c r="H95" t="s">
        <v>772</v>
      </c>
      <c r="I95" t="s">
        <v>876</v>
      </c>
      <c r="J95" t="str">
        <f>VLOOKUP(F95,Registrations!G:G,1,0)</f>
        <v>svaibhav@cdac.in</v>
      </c>
      <c r="K95" t="str">
        <f t="shared" si="1"/>
        <v>Yes</v>
      </c>
    </row>
    <row r="96" spans="2:11">
      <c r="B96" s="147">
        <v>94</v>
      </c>
      <c r="C96" s="158" t="s">
        <v>56</v>
      </c>
      <c r="D96" s="148" t="s">
        <v>873</v>
      </c>
      <c r="E96" s="148" t="s">
        <v>402</v>
      </c>
      <c r="F96" t="s">
        <v>1082</v>
      </c>
      <c r="G96" t="s">
        <v>174</v>
      </c>
      <c r="H96" t="s">
        <v>202</v>
      </c>
      <c r="I96" t="s">
        <v>921</v>
      </c>
      <c r="J96" t="e">
        <f>VLOOKUP(F96,Registrations!G:G,1,0)</f>
        <v>#N/A</v>
      </c>
      <c r="K96" s="59" t="s">
        <v>863</v>
      </c>
    </row>
    <row r="97" spans="2:11" ht="12.65" hidden="1">
      <c r="B97" s="147">
        <v>95</v>
      </c>
      <c r="C97" s="148" t="s">
        <v>1083</v>
      </c>
      <c r="D97" s="148" t="s">
        <v>881</v>
      </c>
      <c r="E97" s="149" t="s">
        <v>1021</v>
      </c>
      <c r="F97" t="s">
        <v>1084</v>
      </c>
      <c r="G97" t="s">
        <v>137</v>
      </c>
      <c r="H97" t="s">
        <v>420</v>
      </c>
      <c r="I97" t="s">
        <v>876</v>
      </c>
      <c r="J97" t="e">
        <f>VLOOKUP(F97,Registrations!G:G,1,0)</f>
        <v>#N/A</v>
      </c>
      <c r="K97" t="str">
        <f t="shared" si="1"/>
        <v>No</v>
      </c>
    </row>
    <row r="98" spans="2:11">
      <c r="B98" s="147">
        <v>96</v>
      </c>
      <c r="C98" s="158" t="s">
        <v>1085</v>
      </c>
      <c r="D98" s="148" t="s">
        <v>881</v>
      </c>
      <c r="E98" s="148" t="s">
        <v>891</v>
      </c>
      <c r="F98" t="s">
        <v>799</v>
      </c>
      <c r="G98" t="s">
        <v>174</v>
      </c>
      <c r="H98" t="s">
        <v>408</v>
      </c>
      <c r="I98" t="s">
        <v>876</v>
      </c>
      <c r="J98" t="str">
        <f>VLOOKUP(F98,Registrations!G:G,1,0)</f>
        <v>awasan@ph.iitr.ac.in</v>
      </c>
      <c r="K98" t="str">
        <f t="shared" si="1"/>
        <v>Yes</v>
      </c>
    </row>
    <row r="99" spans="2:11">
      <c r="B99" s="147">
        <v>97</v>
      </c>
      <c r="C99" s="158" t="s">
        <v>1086</v>
      </c>
      <c r="D99" s="148" t="s">
        <v>878</v>
      </c>
      <c r="E99" s="149" t="s">
        <v>879</v>
      </c>
      <c r="F99" t="s">
        <v>261</v>
      </c>
      <c r="G99" t="s">
        <v>144</v>
      </c>
      <c r="H99" t="s">
        <v>904</v>
      </c>
      <c r="I99" t="s">
        <v>876</v>
      </c>
      <c r="J99" t="str">
        <f>VLOOKUP(F99,Registrations!G:G,1,0)</f>
        <v>ambarish@iisc.ac.in</v>
      </c>
      <c r="K99" t="str">
        <f t="shared" si="1"/>
        <v>Yes</v>
      </c>
    </row>
    <row r="100" spans="2:11" ht="12.65" hidden="1">
      <c r="B100" s="147">
        <v>98</v>
      </c>
      <c r="C100" s="148" t="s">
        <v>1087</v>
      </c>
      <c r="D100" s="148" t="s">
        <v>1088</v>
      </c>
      <c r="E100" s="149" t="s">
        <v>161</v>
      </c>
      <c r="F100" t="s">
        <v>1089</v>
      </c>
      <c r="G100" t="s">
        <v>209</v>
      </c>
      <c r="H100" t="s">
        <v>302</v>
      </c>
      <c r="I100" t="s">
        <v>876</v>
      </c>
      <c r="J100" t="e">
        <f>VLOOKUP(F100,Registrations!G:G,1,0)</f>
        <v>#N/A</v>
      </c>
      <c r="K100" t="str">
        <f>IF(ISNA(J100),"No", "Yes")</f>
        <v>No</v>
      </c>
    </row>
    <row r="101" spans="2:11">
      <c r="B101" s="147">
        <v>99</v>
      </c>
      <c r="C101" s="158" t="s">
        <v>1090</v>
      </c>
      <c r="D101" s="148" t="s">
        <v>881</v>
      </c>
      <c r="E101" s="149" t="s">
        <v>874</v>
      </c>
      <c r="F101" t="s">
        <v>575</v>
      </c>
      <c r="G101" t="s">
        <v>144</v>
      </c>
      <c r="H101" t="s">
        <v>940</v>
      </c>
      <c r="I101" t="s">
        <v>921</v>
      </c>
      <c r="J101" t="str">
        <f>VLOOKUP(F101,Registrations!G:G,1,0)</f>
        <v>akjha@iitk.ac.in</v>
      </c>
      <c r="K101" t="str">
        <f t="shared" si="1"/>
        <v>Yes</v>
      </c>
    </row>
    <row r="102" spans="2:11">
      <c r="B102" s="147">
        <v>100</v>
      </c>
      <c r="C102" s="158" t="s">
        <v>1091</v>
      </c>
      <c r="D102" s="148" t="s">
        <v>873</v>
      </c>
      <c r="E102" s="149" t="s">
        <v>971</v>
      </c>
      <c r="F102" t="s">
        <v>424</v>
      </c>
      <c r="G102" t="s">
        <v>137</v>
      </c>
      <c r="H102" t="s">
        <v>230</v>
      </c>
      <c r="I102" t="s">
        <v>921</v>
      </c>
      <c r="J102" t="str">
        <f>VLOOKUP(F102,Registrations!G:G,1,0)</f>
        <v>anil@ee.iitm.ac.in</v>
      </c>
      <c r="K102" t="str">
        <f t="shared" si="1"/>
        <v>Yes</v>
      </c>
    </row>
    <row r="103" spans="2:11">
      <c r="B103" s="147">
        <v>101</v>
      </c>
      <c r="C103" s="158" t="s">
        <v>1092</v>
      </c>
      <c r="D103" s="148" t="s">
        <v>1093</v>
      </c>
      <c r="E103" s="148" t="s">
        <v>1094</v>
      </c>
      <c r="F103" t="s">
        <v>1095</v>
      </c>
      <c r="G103" t="s">
        <v>174</v>
      </c>
      <c r="H103" t="s">
        <v>787</v>
      </c>
      <c r="I103" t="s">
        <v>876</v>
      </c>
      <c r="J103" t="e">
        <f>VLOOKUP(F103,Registrations!G:G,1,0)</f>
        <v>#N/A</v>
      </c>
      <c r="K103" t="s">
        <v>991</v>
      </c>
    </row>
    <row r="104" spans="2:11">
      <c r="B104" s="147">
        <v>102</v>
      </c>
      <c r="C104" s="158" t="s">
        <v>1096</v>
      </c>
      <c r="D104" s="148" t="s">
        <v>873</v>
      </c>
      <c r="E104" s="149" t="s">
        <v>402</v>
      </c>
      <c r="F104" t="s">
        <v>384</v>
      </c>
      <c r="G104" t="s">
        <v>174</v>
      </c>
      <c r="H104" t="s">
        <v>202</v>
      </c>
      <c r="I104" t="s">
        <v>876</v>
      </c>
      <c r="J104" t="str">
        <f>VLOOKUP(F104,Registrations!G:G,1,0)</f>
        <v>ankesh@ee.iitd.ac.in</v>
      </c>
      <c r="K104" t="str">
        <f t="shared" si="1"/>
        <v>Yes</v>
      </c>
    </row>
    <row r="105" spans="2:11" ht="12.65" hidden="1">
      <c r="B105" s="147">
        <v>103</v>
      </c>
      <c r="C105" s="148" t="s">
        <v>1097</v>
      </c>
      <c r="D105" s="148" t="s">
        <v>966</v>
      </c>
      <c r="E105" s="149" t="s">
        <v>402</v>
      </c>
      <c r="F105" t="s">
        <v>1098</v>
      </c>
      <c r="G105" t="s">
        <v>209</v>
      </c>
      <c r="H105" t="s">
        <v>714</v>
      </c>
      <c r="I105" t="s">
        <v>876</v>
      </c>
      <c r="J105" t="e">
        <f>VLOOKUP(F105,Registrations!G:G,1,0)</f>
        <v>#N/A</v>
      </c>
      <c r="K105" t="str">
        <f t="shared" si="1"/>
        <v>No</v>
      </c>
    </row>
    <row r="106" spans="2:11">
      <c r="B106" s="147">
        <v>104</v>
      </c>
      <c r="C106" s="158" t="s">
        <v>1099</v>
      </c>
      <c r="D106" s="148" t="s">
        <v>1100</v>
      </c>
      <c r="E106" s="148" t="s">
        <v>879</v>
      </c>
      <c r="F106" t="s">
        <v>737</v>
      </c>
      <c r="G106" t="s">
        <v>174</v>
      </c>
      <c r="H106" t="s">
        <v>772</v>
      </c>
      <c r="I106" t="s">
        <v>876</v>
      </c>
      <c r="J106" t="str">
        <f>VLOOKUP(F106,Registrations!G:G,1,0)</f>
        <v>adpatel@iisc.ac.in</v>
      </c>
      <c r="K106" t="str">
        <f t="shared" si="1"/>
        <v>Yes</v>
      </c>
    </row>
    <row r="107" spans="2:11">
      <c r="B107" s="147">
        <v>105</v>
      </c>
      <c r="C107" s="158" t="s">
        <v>1101</v>
      </c>
      <c r="D107" s="148" t="s">
        <v>881</v>
      </c>
      <c r="E107" s="149" t="s">
        <v>993</v>
      </c>
      <c r="F107" t="s">
        <v>301</v>
      </c>
      <c r="G107" t="s">
        <v>209</v>
      </c>
      <c r="H107" t="s">
        <v>302</v>
      </c>
      <c r="I107" t="s">
        <v>876</v>
      </c>
      <c r="J107" t="str">
        <f>VLOOKUP(F107,Registrations!G:G,1,0)</f>
        <v>ashish.arora@iiserpune.ac.in</v>
      </c>
      <c r="K107" t="str">
        <f t="shared" si="1"/>
        <v>Yes</v>
      </c>
    </row>
    <row r="108" spans="2:11">
      <c r="B108" s="147">
        <v>106</v>
      </c>
      <c r="C108" s="158" t="s">
        <v>1102</v>
      </c>
      <c r="D108" s="148" t="s">
        <v>873</v>
      </c>
      <c r="E108" s="148" t="s">
        <v>874</v>
      </c>
      <c r="F108" t="s">
        <v>525</v>
      </c>
      <c r="G108" t="s">
        <v>174</v>
      </c>
      <c r="H108" t="s">
        <v>202</v>
      </c>
      <c r="I108" t="s">
        <v>974</v>
      </c>
      <c r="J108" t="str">
        <f>VLOOKUP(F108,Registrations!G:G,1,0)</f>
        <v>alahgere@iitk.ac.in</v>
      </c>
      <c r="K108" t="str">
        <f t="shared" si="1"/>
        <v>Yes</v>
      </c>
    </row>
    <row r="109" spans="2:11" ht="12.65" hidden="1">
      <c r="B109" s="147">
        <v>107</v>
      </c>
      <c r="C109" s="148" t="s">
        <v>1103</v>
      </c>
      <c r="D109" s="148" t="s">
        <v>896</v>
      </c>
      <c r="E109" s="148" t="s">
        <v>891</v>
      </c>
      <c r="F109" t="s">
        <v>1104</v>
      </c>
      <c r="G109" t="s">
        <v>174</v>
      </c>
      <c r="H109" t="s">
        <v>202</v>
      </c>
      <c r="I109" t="s">
        <v>876</v>
      </c>
      <c r="J109" t="e">
        <f>VLOOKUP(F109,Registrations!G:G,1,0)</f>
        <v>#N/A</v>
      </c>
      <c r="K109" t="str">
        <f t="shared" si="1"/>
        <v>No</v>
      </c>
    </row>
    <row r="110" spans="2:11" ht="12.65" hidden="1">
      <c r="B110" s="147">
        <v>108</v>
      </c>
      <c r="C110" s="148" t="s">
        <v>1105</v>
      </c>
      <c r="D110" s="148" t="s">
        <v>873</v>
      </c>
      <c r="E110" s="149" t="s">
        <v>161</v>
      </c>
      <c r="F110" t="s">
        <v>1106</v>
      </c>
      <c r="G110" t="s">
        <v>209</v>
      </c>
      <c r="H110" t="s">
        <v>302</v>
      </c>
      <c r="I110" t="s">
        <v>876</v>
      </c>
      <c r="J110" t="e">
        <f>VLOOKUP(F110,Registrations!G:G,1,0)</f>
        <v>#N/A</v>
      </c>
      <c r="K110" t="str">
        <f t="shared" si="1"/>
        <v>No</v>
      </c>
    </row>
    <row r="111" spans="2:11">
      <c r="B111" s="147">
        <v>109</v>
      </c>
      <c r="C111" s="378" t="s">
        <v>1107</v>
      </c>
      <c r="D111" s="148" t="s">
        <v>1108</v>
      </c>
      <c r="E111" s="148" t="s">
        <v>879</v>
      </c>
      <c r="F111" t="s">
        <v>733</v>
      </c>
      <c r="G111" t="s">
        <v>174</v>
      </c>
      <c r="H111" t="s">
        <v>787</v>
      </c>
      <c r="I111" t="s">
        <v>921</v>
      </c>
      <c r="J111" t="str">
        <f>VLOOKUP(F111,Registrations!G:G,1,0)</f>
        <v>chandracm@iisc.ac.in</v>
      </c>
      <c r="K111" t="str">
        <f t="shared" si="1"/>
        <v>Yes</v>
      </c>
    </row>
    <row r="112" spans="2:11">
      <c r="B112" s="147">
        <v>110</v>
      </c>
      <c r="C112" s="158" t="s">
        <v>1109</v>
      </c>
      <c r="D112" s="148" t="s">
        <v>1108</v>
      </c>
      <c r="E112" s="148" t="s">
        <v>879</v>
      </c>
      <c r="F112" t="s">
        <v>827</v>
      </c>
      <c r="G112" t="s">
        <v>174</v>
      </c>
      <c r="H112" t="s">
        <v>461</v>
      </c>
      <c r="I112" t="s">
        <v>876</v>
      </c>
      <c r="J112" t="str">
        <f>VLOOKUP(F112,Registrations!G:G,1,0)</f>
        <v>csthakur@iisc.ac.in</v>
      </c>
      <c r="K112" t="str">
        <f t="shared" si="1"/>
        <v>Yes</v>
      </c>
    </row>
    <row r="113" spans="2:11">
      <c r="B113" s="147">
        <v>111</v>
      </c>
      <c r="C113" s="158" t="s">
        <v>1110</v>
      </c>
      <c r="D113" s="148" t="s">
        <v>1018</v>
      </c>
      <c r="E113" s="148" t="s">
        <v>891</v>
      </c>
      <c r="F113" t="s">
        <v>811</v>
      </c>
      <c r="G113" t="s">
        <v>174</v>
      </c>
      <c r="H113" t="s">
        <v>202</v>
      </c>
      <c r="I113" t="s">
        <v>876</v>
      </c>
      <c r="J113" t="str">
        <f>VLOOKUP(F113,Registrations!G:G,1,0)</f>
        <v>darshak.bhatt@ece.iitr.ac.in</v>
      </c>
      <c r="K113" t="str">
        <f t="shared" si="1"/>
        <v>Yes</v>
      </c>
    </row>
    <row r="114" spans="2:11" s="108" customFormat="1" ht="12.65" hidden="1">
      <c r="B114" s="153">
        <v>112</v>
      </c>
      <c r="C114" s="154" t="s">
        <v>1111</v>
      </c>
      <c r="D114" s="154" t="s">
        <v>873</v>
      </c>
      <c r="E114" s="155" t="s">
        <v>971</v>
      </c>
      <c r="F114" s="108" t="s">
        <v>1112</v>
      </c>
      <c r="G114" s="108" t="s">
        <v>974</v>
      </c>
      <c r="H114" s="108" t="s">
        <v>974</v>
      </c>
      <c r="I114" s="108" t="s">
        <v>974</v>
      </c>
      <c r="J114" t="e">
        <f>VLOOKUP(F114,Registrations!G:G,1,0)</f>
        <v>#N/A</v>
      </c>
      <c r="K114" t="str">
        <f t="shared" si="1"/>
        <v>No</v>
      </c>
    </row>
    <row r="115" spans="2:11">
      <c r="B115" s="147">
        <v>113</v>
      </c>
      <c r="C115" s="158" t="s">
        <v>1113</v>
      </c>
      <c r="D115" s="148" t="s">
        <v>873</v>
      </c>
      <c r="E115" s="148" t="s">
        <v>387</v>
      </c>
      <c r="F115" t="s">
        <v>1114</v>
      </c>
      <c r="G115" t="s">
        <v>174</v>
      </c>
      <c r="H115" t="s">
        <v>202</v>
      </c>
      <c r="I115" t="s">
        <v>876</v>
      </c>
      <c r="J115" t="e">
        <f>VLOOKUP(F115,Registrations!G:G,1,0)</f>
        <v>#N/A</v>
      </c>
      <c r="K115" s="59" t="s">
        <v>863</v>
      </c>
    </row>
    <row r="116" spans="2:11">
      <c r="B116" s="147">
        <v>114</v>
      </c>
      <c r="C116" s="158" t="s">
        <v>1115</v>
      </c>
      <c r="D116" s="148" t="s">
        <v>1116</v>
      </c>
      <c r="E116" s="149" t="s">
        <v>402</v>
      </c>
      <c r="F116" t="s">
        <v>1117</v>
      </c>
      <c r="G116" t="s">
        <v>209</v>
      </c>
      <c r="H116" t="s">
        <v>714</v>
      </c>
      <c r="I116" t="s">
        <v>876</v>
      </c>
      <c r="J116" t="e">
        <f>VLOOKUP(F116,Registrations!G:G,1,0)</f>
        <v>#N/A</v>
      </c>
      <c r="K116" t="s">
        <v>863</v>
      </c>
    </row>
    <row r="117" spans="2:11" ht="12.65" hidden="1">
      <c r="B117" s="147">
        <v>115</v>
      </c>
      <c r="C117" s="148" t="s">
        <v>1118</v>
      </c>
      <c r="D117" s="148" t="s">
        <v>873</v>
      </c>
      <c r="E117" s="149" t="s">
        <v>161</v>
      </c>
      <c r="F117" t="s">
        <v>1119</v>
      </c>
      <c r="G117" t="s">
        <v>209</v>
      </c>
      <c r="H117" t="s">
        <v>1120</v>
      </c>
      <c r="I117" t="s">
        <v>876</v>
      </c>
      <c r="J117" t="e">
        <f>VLOOKUP(F117,Registrations!G:G,1,0)</f>
        <v>#N/A</v>
      </c>
      <c r="K117" t="str">
        <f t="shared" si="1"/>
        <v>No</v>
      </c>
    </row>
    <row r="118" spans="2:11">
      <c r="B118" s="147">
        <v>116</v>
      </c>
      <c r="C118" s="158" t="s">
        <v>1121</v>
      </c>
      <c r="D118" s="148" t="s">
        <v>1122</v>
      </c>
      <c r="E118" s="149" t="s">
        <v>161</v>
      </c>
      <c r="F118" t="s">
        <v>1123</v>
      </c>
      <c r="G118" t="s">
        <v>209</v>
      </c>
      <c r="H118" t="s">
        <v>302</v>
      </c>
      <c r="I118" t="s">
        <v>974</v>
      </c>
      <c r="J118" t="str">
        <f>VLOOKUP(F118,Registrations!G:G,1,0)</f>
        <v>rajaraman@chem.iitb.ac.in</v>
      </c>
      <c r="K118" t="str">
        <f t="shared" si="1"/>
        <v>Yes</v>
      </c>
    </row>
    <row r="119" spans="2:11" ht="12.65" hidden="1">
      <c r="B119" s="147">
        <v>117</v>
      </c>
      <c r="C119" s="148" t="s">
        <v>1124</v>
      </c>
      <c r="D119" s="148" t="s">
        <v>881</v>
      </c>
      <c r="E119" s="149" t="s">
        <v>874</v>
      </c>
      <c r="F119" t="s">
        <v>1125</v>
      </c>
      <c r="G119" t="s">
        <v>144</v>
      </c>
      <c r="H119" t="s">
        <v>940</v>
      </c>
      <c r="I119" t="s">
        <v>876</v>
      </c>
      <c r="J119" t="e">
        <f>VLOOKUP(F119,Registrations!G:G,1,0)</f>
        <v>#N/A</v>
      </c>
      <c r="K119" t="str">
        <f t="shared" si="1"/>
        <v>No</v>
      </c>
    </row>
    <row r="120" spans="2:11">
      <c r="B120" s="147">
        <v>118</v>
      </c>
      <c r="C120" s="158" t="s">
        <v>1126</v>
      </c>
      <c r="D120" s="148" t="s">
        <v>881</v>
      </c>
      <c r="E120" s="148" t="s">
        <v>879</v>
      </c>
      <c r="F120" t="s">
        <v>728</v>
      </c>
      <c r="G120" t="s">
        <v>174</v>
      </c>
      <c r="H120" t="s">
        <v>772</v>
      </c>
      <c r="I120" t="s">
        <v>876</v>
      </c>
      <c r="J120" t="str">
        <f>VLOOKUP(F120,Registrations!G:G,1,0)</f>
        <v>basu@iisc.ac.in</v>
      </c>
      <c r="K120" t="str">
        <f t="shared" si="1"/>
        <v>Yes</v>
      </c>
    </row>
    <row r="121" spans="2:11" ht="12.65" hidden="1">
      <c r="B121" s="147">
        <v>119</v>
      </c>
      <c r="C121" s="148" t="s">
        <v>1127</v>
      </c>
      <c r="D121" s="148" t="s">
        <v>881</v>
      </c>
      <c r="E121" s="149" t="s">
        <v>971</v>
      </c>
      <c r="F121" t="s">
        <v>1128</v>
      </c>
      <c r="G121" t="s">
        <v>209</v>
      </c>
      <c r="H121" t="s">
        <v>714</v>
      </c>
      <c r="I121" t="s">
        <v>876</v>
      </c>
      <c r="J121" t="e">
        <f>VLOOKUP(F121,Registrations!G:G,1,0)</f>
        <v>#N/A</v>
      </c>
      <c r="K121" t="str">
        <f t="shared" si="1"/>
        <v>No</v>
      </c>
    </row>
    <row r="122" spans="2:11">
      <c r="B122" s="147">
        <v>120</v>
      </c>
      <c r="C122" s="158" t="s">
        <v>1129</v>
      </c>
      <c r="D122" s="148" t="s">
        <v>1018</v>
      </c>
      <c r="E122" s="149" t="s">
        <v>891</v>
      </c>
      <c r="F122" t="s">
        <v>1130</v>
      </c>
      <c r="G122" t="s">
        <v>209</v>
      </c>
      <c r="H122" t="s">
        <v>714</v>
      </c>
      <c r="I122" t="s">
        <v>876</v>
      </c>
      <c r="J122" t="str">
        <f>VLOOKUP(F122,Registrations!G:G,1,0)</f>
        <v>karun.rawat@ece.iitr.ac.in</v>
      </c>
      <c r="K122" t="str">
        <f t="shared" si="1"/>
        <v>Yes</v>
      </c>
    </row>
    <row r="123" spans="2:11">
      <c r="B123" s="147">
        <v>121</v>
      </c>
      <c r="C123" s="158" t="s">
        <v>1131</v>
      </c>
      <c r="D123" s="148" t="s">
        <v>1132</v>
      </c>
      <c r="E123" s="148" t="s">
        <v>879</v>
      </c>
      <c r="F123" t="s">
        <v>803</v>
      </c>
      <c r="G123" t="s">
        <v>174</v>
      </c>
      <c r="H123" t="s">
        <v>772</v>
      </c>
      <c r="I123" t="s">
        <v>876</v>
      </c>
      <c r="J123" t="str">
        <f>VLOOKUP(F123,Registrations!G:G,1,0)</f>
        <v>kausikm@iisc.ac.in</v>
      </c>
      <c r="K123" t="str">
        <f t="shared" si="1"/>
        <v>Yes</v>
      </c>
    </row>
    <row r="124" spans="2:11">
      <c r="B124" s="147">
        <v>122</v>
      </c>
      <c r="C124" s="158" t="s">
        <v>1133</v>
      </c>
      <c r="D124" s="148" t="s">
        <v>913</v>
      </c>
      <c r="E124" s="149" t="s">
        <v>402</v>
      </c>
      <c r="F124" t="s">
        <v>847</v>
      </c>
      <c r="G124" t="s">
        <v>144</v>
      </c>
      <c r="H124" t="s">
        <v>940</v>
      </c>
      <c r="I124" t="s">
        <v>876</v>
      </c>
      <c r="J124" t="str">
        <f>VLOOKUP(F124,Registrations!G:G,1,0)</f>
        <v>kedark@opc.iitd.ac.in</v>
      </c>
      <c r="K124" t="str">
        <f t="shared" si="1"/>
        <v>Yes</v>
      </c>
    </row>
    <row r="125" spans="2:11">
      <c r="B125" s="147">
        <v>123</v>
      </c>
      <c r="C125" s="158" t="s">
        <v>1134</v>
      </c>
      <c r="D125" s="148" t="s">
        <v>885</v>
      </c>
      <c r="E125" s="148" t="s">
        <v>402</v>
      </c>
      <c r="F125" t="s">
        <v>579</v>
      </c>
      <c r="G125" t="s">
        <v>174</v>
      </c>
      <c r="H125" t="s">
        <v>202</v>
      </c>
      <c r="I125" t="s">
        <v>876</v>
      </c>
      <c r="J125" t="str">
        <f>VLOOKUP(F125,Registrations!G:G,1,0)</f>
        <v>kolin.paul@gmail.com</v>
      </c>
      <c r="K125" t="str">
        <f t="shared" si="1"/>
        <v>Yes</v>
      </c>
    </row>
    <row r="126" spans="2:11">
      <c r="B126" s="147">
        <v>124</v>
      </c>
      <c r="C126" s="158" t="s">
        <v>1135</v>
      </c>
      <c r="D126" s="148" t="s">
        <v>1136</v>
      </c>
      <c r="E126" s="149" t="s">
        <v>402</v>
      </c>
      <c r="F126" t="s">
        <v>1137</v>
      </c>
      <c r="G126" t="s">
        <v>209</v>
      </c>
      <c r="H126" t="s">
        <v>302</v>
      </c>
      <c r="I126" t="s">
        <v>876</v>
      </c>
      <c r="J126" t="e">
        <f>VLOOKUP(F126,Registrations!G:G,1,0)</f>
        <v>#N/A</v>
      </c>
      <c r="K126" t="s">
        <v>863</v>
      </c>
    </row>
    <row r="127" spans="2:11" s="108" customFormat="1" ht="12.65" hidden="1">
      <c r="B127" s="153">
        <v>125</v>
      </c>
      <c r="C127" s="154" t="s">
        <v>1138</v>
      </c>
      <c r="D127" s="154" t="s">
        <v>873</v>
      </c>
      <c r="E127" s="155" t="s">
        <v>971</v>
      </c>
      <c r="F127" s="108" t="s">
        <v>1139</v>
      </c>
      <c r="G127" s="108" t="s">
        <v>974</v>
      </c>
      <c r="H127" s="108" t="s">
        <v>974</v>
      </c>
      <c r="I127" s="108" t="s">
        <v>974</v>
      </c>
      <c r="J127" t="e">
        <f>VLOOKUP(F127,Registrations!G:G,1,0)</f>
        <v>#N/A</v>
      </c>
      <c r="K127" t="str">
        <f t="shared" si="1"/>
        <v>No</v>
      </c>
    </row>
    <row r="128" spans="2:11">
      <c r="B128" s="147">
        <v>126</v>
      </c>
      <c r="C128" s="158" t="s">
        <v>1140</v>
      </c>
      <c r="D128" s="148" t="s">
        <v>881</v>
      </c>
      <c r="E128" s="149" t="s">
        <v>971</v>
      </c>
      <c r="F128" t="s">
        <v>1141</v>
      </c>
      <c r="G128" t="s">
        <v>144</v>
      </c>
      <c r="H128" t="s">
        <v>904</v>
      </c>
      <c r="I128" t="s">
        <v>876</v>
      </c>
      <c r="J128" t="e">
        <f>VLOOKUP(F128,Registrations!G:G,1,0)</f>
        <v>#N/A</v>
      </c>
      <c r="K128" t="s">
        <v>863</v>
      </c>
    </row>
    <row r="129" spans="2:11">
      <c r="B129" s="147">
        <v>127</v>
      </c>
      <c r="C129" s="158" t="s">
        <v>1142</v>
      </c>
      <c r="D129" s="148" t="s">
        <v>885</v>
      </c>
      <c r="E129" s="149" t="s">
        <v>960</v>
      </c>
      <c r="F129" t="s">
        <v>1143</v>
      </c>
      <c r="G129" t="s">
        <v>137</v>
      </c>
      <c r="H129" t="s">
        <v>230</v>
      </c>
      <c r="I129" t="s">
        <v>876</v>
      </c>
      <c r="J129" t="e">
        <f>VLOOKUP(F129,Registrations!G:G,1,0)</f>
        <v>#N/A</v>
      </c>
      <c r="K129" t="s">
        <v>863</v>
      </c>
    </row>
    <row r="130" spans="2:11">
      <c r="B130" s="147">
        <v>128</v>
      </c>
      <c r="C130" s="158" t="s">
        <v>1144</v>
      </c>
      <c r="D130" s="148" t="s">
        <v>881</v>
      </c>
      <c r="E130" s="149" t="s">
        <v>161</v>
      </c>
      <c r="F130" t="s">
        <v>1145</v>
      </c>
      <c r="G130" t="s">
        <v>209</v>
      </c>
      <c r="H130" t="s">
        <v>302</v>
      </c>
      <c r="I130" t="s">
        <v>876</v>
      </c>
      <c r="J130" t="str">
        <f>VLOOKUP(F130,Registrations!G:G,1,0)</f>
        <v>maniraj@iitb.ac.in</v>
      </c>
      <c r="K130" t="str">
        <f t="shared" si="1"/>
        <v>Yes</v>
      </c>
    </row>
    <row r="131" spans="2:11">
      <c r="B131" s="147">
        <v>129</v>
      </c>
      <c r="C131" s="158" t="s">
        <v>1146</v>
      </c>
      <c r="D131" s="148" t="s">
        <v>873</v>
      </c>
      <c r="E131" s="148" t="s">
        <v>1039</v>
      </c>
      <c r="F131" s="60" t="s">
        <v>780</v>
      </c>
      <c r="G131" t="s">
        <v>174</v>
      </c>
      <c r="H131" t="s">
        <v>772</v>
      </c>
      <c r="I131" t="s">
        <v>876</v>
      </c>
      <c r="J131" t="str">
        <f>VLOOKUP(F131,Registrations!G:G,1,0)</f>
        <v>mukesh.kr@iiti.ac.in</v>
      </c>
      <c r="K131" t="str">
        <f t="shared" si="1"/>
        <v>Yes</v>
      </c>
    </row>
    <row r="132" spans="2:11">
      <c r="B132" s="147">
        <v>130</v>
      </c>
      <c r="C132" s="158" t="s">
        <v>1147</v>
      </c>
      <c r="D132" s="148" t="s">
        <v>885</v>
      </c>
      <c r="E132" s="148" t="s">
        <v>387</v>
      </c>
      <c r="F132" s="60" t="s">
        <v>752</v>
      </c>
      <c r="G132" t="s">
        <v>174</v>
      </c>
      <c r="H132" t="s">
        <v>202</v>
      </c>
      <c r="I132" t="s">
        <v>876</v>
      </c>
      <c r="J132" t="str">
        <f>VLOOKUP(F132,Registrations!G:G,1,0)</f>
        <v>neeraj@iitrpr.ac.in</v>
      </c>
      <c r="K132" s="59" t="s">
        <v>863</v>
      </c>
    </row>
    <row r="133" spans="2:11" ht="12.65" hidden="1">
      <c r="B133" s="147">
        <v>131</v>
      </c>
      <c r="C133" s="148" t="s">
        <v>1148</v>
      </c>
      <c r="D133" s="148" t="s">
        <v>1149</v>
      </c>
      <c r="E133" s="149" t="s">
        <v>402</v>
      </c>
      <c r="F133" t="s">
        <v>1150</v>
      </c>
      <c r="G133" t="s">
        <v>209</v>
      </c>
      <c r="H133" t="s">
        <v>714</v>
      </c>
      <c r="I133" t="s">
        <v>876</v>
      </c>
      <c r="J133" t="e">
        <f>VLOOKUP(F133,Registrations!G:G,1,0)</f>
        <v>#N/A</v>
      </c>
      <c r="K133" t="str">
        <f t="shared" ref="K133:K159" si="2">IF(ISNA(J133),"No", "Yes")</f>
        <v>No</v>
      </c>
    </row>
    <row r="134" spans="2:11" ht="12.65" hidden="1">
      <c r="B134" s="147">
        <v>132</v>
      </c>
      <c r="C134" s="148" t="s">
        <v>1151</v>
      </c>
      <c r="D134" s="148" t="s">
        <v>881</v>
      </c>
      <c r="E134" s="149" t="s">
        <v>402</v>
      </c>
      <c r="F134" t="s">
        <v>1152</v>
      </c>
      <c r="G134" t="s">
        <v>209</v>
      </c>
      <c r="H134" t="s">
        <v>714</v>
      </c>
      <c r="I134" t="s">
        <v>876</v>
      </c>
      <c r="J134" t="e">
        <f>VLOOKUP(F134,Registrations!G:G,1,0)</f>
        <v>#N/A</v>
      </c>
      <c r="K134" t="str">
        <f t="shared" si="2"/>
        <v>No</v>
      </c>
    </row>
    <row r="135" spans="2:11">
      <c r="B135" s="147">
        <v>133</v>
      </c>
      <c r="C135" s="158" t="s">
        <v>1153</v>
      </c>
      <c r="D135" s="148" t="s">
        <v>1154</v>
      </c>
      <c r="E135" s="149" t="s">
        <v>985</v>
      </c>
      <c r="F135" t="s">
        <v>1155</v>
      </c>
      <c r="G135" t="s">
        <v>144</v>
      </c>
      <c r="H135" t="s">
        <v>904</v>
      </c>
      <c r="I135" t="s">
        <v>876</v>
      </c>
      <c r="J135" t="e">
        <f>VLOOKUP(F135,Registrations!G:G,1,0)</f>
        <v>#N/A</v>
      </c>
      <c r="K135" s="59" t="s">
        <v>863</v>
      </c>
    </row>
    <row r="136" spans="2:11">
      <c r="B136" s="147">
        <v>134</v>
      </c>
      <c r="C136" s="158" t="s">
        <v>1156</v>
      </c>
      <c r="D136" s="148" t="s">
        <v>1157</v>
      </c>
      <c r="E136" s="149" t="s">
        <v>348</v>
      </c>
      <c r="F136" t="s">
        <v>1158</v>
      </c>
      <c r="G136" t="s">
        <v>209</v>
      </c>
      <c r="H136" t="s">
        <v>302</v>
      </c>
      <c r="I136" t="s">
        <v>876</v>
      </c>
      <c r="J136" t="e">
        <f>VLOOKUP(F136,Registrations!G:G,1,0)</f>
        <v>#N/A</v>
      </c>
      <c r="K136" t="s">
        <v>863</v>
      </c>
    </row>
    <row r="137" spans="2:11" ht="12.65" hidden="1">
      <c r="B137" s="147">
        <v>135</v>
      </c>
      <c r="C137" s="148" t="s">
        <v>1159</v>
      </c>
      <c r="D137" s="148" t="s">
        <v>885</v>
      </c>
      <c r="E137" s="148" t="s">
        <v>402</v>
      </c>
      <c r="F137" s="60" t="s">
        <v>1160</v>
      </c>
      <c r="G137" s="156" t="s">
        <v>174</v>
      </c>
      <c r="H137" t="s">
        <v>202</v>
      </c>
      <c r="I137" s="59" t="s">
        <v>876</v>
      </c>
      <c r="J137" t="e">
        <f>VLOOKUP(F137,Registrations!G:G,1,0)</f>
        <v>#N/A</v>
      </c>
      <c r="K137" t="str">
        <f t="shared" si="2"/>
        <v>No</v>
      </c>
    </row>
    <row r="138" spans="2:11" ht="12.65" hidden="1">
      <c r="B138" s="147">
        <v>136</v>
      </c>
      <c r="C138" s="148" t="s">
        <v>1161</v>
      </c>
      <c r="D138" s="148" t="s">
        <v>966</v>
      </c>
      <c r="E138" s="149" t="s">
        <v>402</v>
      </c>
      <c r="F138" t="s">
        <v>1162</v>
      </c>
      <c r="G138" t="s">
        <v>209</v>
      </c>
      <c r="H138" t="s">
        <v>714</v>
      </c>
      <c r="I138" t="s">
        <v>876</v>
      </c>
      <c r="J138" t="e">
        <f>VLOOKUP(F138,Registrations!G:G,1,0)</f>
        <v>#N/A</v>
      </c>
      <c r="K138" t="str">
        <f t="shared" si="2"/>
        <v>No</v>
      </c>
    </row>
    <row r="139" spans="2:11">
      <c r="B139" s="147">
        <v>137</v>
      </c>
      <c r="C139" s="158" t="s">
        <v>1163</v>
      </c>
      <c r="D139" s="148" t="s">
        <v>1164</v>
      </c>
      <c r="E139" s="149" t="s">
        <v>1165</v>
      </c>
      <c r="F139" t="s">
        <v>1166</v>
      </c>
      <c r="G139" t="s">
        <v>209</v>
      </c>
      <c r="H139" t="s">
        <v>217</v>
      </c>
      <c r="I139" t="s">
        <v>876</v>
      </c>
      <c r="J139" t="e">
        <f>VLOOKUP(F139,Registrations!G:G,1,0)</f>
        <v>#N/A</v>
      </c>
      <c r="K139" t="s">
        <v>991</v>
      </c>
    </row>
    <row r="140" spans="2:11">
      <c r="B140" s="147">
        <v>138</v>
      </c>
      <c r="C140" s="158" t="s">
        <v>1167</v>
      </c>
      <c r="D140" s="148" t="s">
        <v>881</v>
      </c>
      <c r="E140" s="149" t="s">
        <v>402</v>
      </c>
      <c r="F140" t="s">
        <v>1168</v>
      </c>
      <c r="G140" t="s">
        <v>209</v>
      </c>
      <c r="H140" t="s">
        <v>1169</v>
      </c>
      <c r="I140" t="s">
        <v>921</v>
      </c>
      <c r="J140" t="e">
        <f>VLOOKUP(F140,Registrations!G:G,1,0)</f>
        <v>#N/A</v>
      </c>
      <c r="K140" t="s">
        <v>991</v>
      </c>
    </row>
    <row r="141" spans="2:11">
      <c r="B141" s="147">
        <v>139</v>
      </c>
      <c r="C141" s="158" t="s">
        <v>1170</v>
      </c>
      <c r="D141" s="148" t="s">
        <v>887</v>
      </c>
      <c r="E141" s="148" t="s">
        <v>888</v>
      </c>
      <c r="F141" t="s">
        <v>640</v>
      </c>
      <c r="G141" t="s">
        <v>174</v>
      </c>
      <c r="H141" t="s">
        <v>772</v>
      </c>
      <c r="I141" t="s">
        <v>876</v>
      </c>
      <c r="J141" t="str">
        <f>VLOOKUP(F141,Registrations!G:G,1,0)</f>
        <v>rpant@iisertvm.ac.in</v>
      </c>
      <c r="K141" t="str">
        <f t="shared" si="2"/>
        <v>Yes</v>
      </c>
    </row>
    <row r="142" spans="2:11">
      <c r="B142" s="147">
        <v>140</v>
      </c>
      <c r="C142" s="158" t="s">
        <v>1171</v>
      </c>
      <c r="D142" s="148" t="s">
        <v>1172</v>
      </c>
      <c r="E142" s="148" t="s">
        <v>1173</v>
      </c>
      <c r="F142" t="s">
        <v>199</v>
      </c>
      <c r="G142" t="s">
        <v>174</v>
      </c>
      <c r="H142" t="s">
        <v>202</v>
      </c>
      <c r="I142" t="s">
        <v>876</v>
      </c>
      <c r="J142" t="str">
        <f>VLOOKUP(F142,Registrations!G:G,1,0)</f>
        <v>ravikiran.y@hyderabad.bits-pilani.ac.in</v>
      </c>
      <c r="K142" t="str">
        <f t="shared" si="2"/>
        <v>Yes</v>
      </c>
    </row>
    <row r="143" spans="2:11">
      <c r="B143" s="147">
        <v>141</v>
      </c>
      <c r="C143" s="158" t="s">
        <v>1174</v>
      </c>
      <c r="D143" s="148" t="s">
        <v>1175</v>
      </c>
      <c r="E143" s="148" t="s">
        <v>402</v>
      </c>
      <c r="F143" t="s">
        <v>1176</v>
      </c>
      <c r="G143" t="s">
        <v>174</v>
      </c>
      <c r="H143" t="s">
        <v>486</v>
      </c>
      <c r="I143" t="s">
        <v>876</v>
      </c>
      <c r="J143" t="e">
        <f>VLOOKUP(F143,Registrations!G:G,1,0)</f>
        <v>#N/A</v>
      </c>
      <c r="K143" s="59" t="s">
        <v>863</v>
      </c>
    </row>
    <row r="144" spans="2:11" ht="12.65" hidden="1">
      <c r="B144" s="147">
        <v>142</v>
      </c>
      <c r="C144" s="148" t="s">
        <v>1177</v>
      </c>
      <c r="D144" s="148" t="s">
        <v>881</v>
      </c>
      <c r="E144" s="149" t="s">
        <v>930</v>
      </c>
      <c r="F144" t="s">
        <v>1178</v>
      </c>
      <c r="G144" t="s">
        <v>209</v>
      </c>
      <c r="H144" t="s">
        <v>714</v>
      </c>
      <c r="I144" t="s">
        <v>876</v>
      </c>
      <c r="J144" t="e">
        <f>VLOOKUP(F144,Registrations!G:G,1,0)</f>
        <v>#N/A</v>
      </c>
      <c r="K144" t="str">
        <f t="shared" si="2"/>
        <v>No</v>
      </c>
    </row>
    <row r="145" spans="2:11">
      <c r="B145" s="147">
        <v>143</v>
      </c>
      <c r="C145" s="158" t="s">
        <v>1179</v>
      </c>
      <c r="D145" s="148" t="s">
        <v>873</v>
      </c>
      <c r="E145" s="149" t="s">
        <v>402</v>
      </c>
      <c r="F145" t="s">
        <v>1180</v>
      </c>
      <c r="G145" t="s">
        <v>209</v>
      </c>
      <c r="H145" t="s">
        <v>1169</v>
      </c>
      <c r="I145" t="s">
        <v>876</v>
      </c>
      <c r="J145" t="str">
        <f>VLOOKUP(F145,Registrations!G:G,1,0)</f>
        <v>mannasan@ee.iitd.ac.in</v>
      </c>
      <c r="K145" t="str">
        <f t="shared" si="2"/>
        <v>Yes</v>
      </c>
    </row>
    <row r="146" spans="2:11">
      <c r="B146" s="147">
        <v>144</v>
      </c>
      <c r="C146" s="158" t="s">
        <v>114</v>
      </c>
      <c r="D146" s="148" t="s">
        <v>873</v>
      </c>
      <c r="E146" s="149" t="s">
        <v>161</v>
      </c>
      <c r="F146" t="s">
        <v>1181</v>
      </c>
      <c r="G146" t="s">
        <v>209</v>
      </c>
      <c r="H146" t="s">
        <v>302</v>
      </c>
      <c r="I146" t="s">
        <v>921</v>
      </c>
      <c r="J146" t="e">
        <f>VLOOKUP(F146,Registrations!G:G,1,0)</f>
        <v>#N/A</v>
      </c>
      <c r="K146" t="s">
        <v>863</v>
      </c>
    </row>
    <row r="147" spans="2:11">
      <c r="B147" s="147">
        <v>145</v>
      </c>
      <c r="C147" s="158" t="s">
        <v>1182</v>
      </c>
      <c r="D147" s="148" t="s">
        <v>1183</v>
      </c>
      <c r="E147" s="149" t="s">
        <v>930</v>
      </c>
      <c r="F147" s="60" t="s">
        <v>477</v>
      </c>
      <c r="G147" t="s">
        <v>209</v>
      </c>
      <c r="H147" t="s">
        <v>217</v>
      </c>
      <c r="I147" t="s">
        <v>921</v>
      </c>
      <c r="J147" t="str">
        <f>VLOOKUP(F147,Registrations!G:G,1,0)</f>
        <v>skvarshney@ece.iitkgp.ac.in</v>
      </c>
      <c r="K147" t="str">
        <f t="shared" si="2"/>
        <v>Yes</v>
      </c>
    </row>
    <row r="148" spans="2:11">
      <c r="B148" s="147">
        <v>146</v>
      </c>
      <c r="C148" s="158" t="s">
        <v>1184</v>
      </c>
      <c r="D148" s="148" t="s">
        <v>1185</v>
      </c>
      <c r="E148" s="148" t="s">
        <v>879</v>
      </c>
      <c r="F148" s="60" t="s">
        <v>539</v>
      </c>
      <c r="G148" t="s">
        <v>174</v>
      </c>
      <c r="H148" t="s">
        <v>772</v>
      </c>
      <c r="I148" t="s">
        <v>921</v>
      </c>
      <c r="J148" t="str">
        <f>VLOOKUP(F148,Registrations!G:G,1,0)</f>
        <v>shankarks@iisc.ac.in</v>
      </c>
      <c r="K148" t="str">
        <f t="shared" si="2"/>
        <v>Yes</v>
      </c>
    </row>
    <row r="149" spans="2:11" ht="12.65" hidden="1">
      <c r="B149" s="147">
        <v>147</v>
      </c>
      <c r="C149" s="148" t="s">
        <v>1186</v>
      </c>
      <c r="D149" s="148" t="s">
        <v>1187</v>
      </c>
      <c r="E149" s="148" t="s">
        <v>1188</v>
      </c>
      <c r="F149" t="s">
        <v>1189</v>
      </c>
      <c r="G149" t="s">
        <v>174</v>
      </c>
      <c r="H149" t="s">
        <v>486</v>
      </c>
      <c r="I149" t="s">
        <v>876</v>
      </c>
      <c r="J149" t="e">
        <f>VLOOKUP(F149,Registrations!G:G,1,0)</f>
        <v>#N/A</v>
      </c>
      <c r="K149" t="str">
        <f t="shared" si="2"/>
        <v>No</v>
      </c>
    </row>
    <row r="150" spans="2:11" ht="12.65" hidden="1">
      <c r="B150" s="147">
        <v>148</v>
      </c>
      <c r="C150" s="148" t="s">
        <v>1190</v>
      </c>
      <c r="D150" s="148" t="s">
        <v>896</v>
      </c>
      <c r="E150" s="148" t="s">
        <v>891</v>
      </c>
      <c r="F150" t="s">
        <v>1191</v>
      </c>
      <c r="G150" t="s">
        <v>174</v>
      </c>
      <c r="H150" t="s">
        <v>202</v>
      </c>
      <c r="I150" t="s">
        <v>876</v>
      </c>
      <c r="J150" t="e">
        <f>VLOOKUP(F150,Registrations!G:G,1,0)</f>
        <v>#N/A</v>
      </c>
      <c r="K150" t="str">
        <f t="shared" si="2"/>
        <v>No</v>
      </c>
    </row>
    <row r="151" spans="2:11" ht="12.65" hidden="1">
      <c r="B151" s="147">
        <v>149</v>
      </c>
      <c r="C151" s="148" t="s">
        <v>1192</v>
      </c>
      <c r="D151" s="148" t="s">
        <v>1193</v>
      </c>
      <c r="E151" s="149" t="s">
        <v>402</v>
      </c>
      <c r="F151" t="s">
        <v>1194</v>
      </c>
      <c r="G151" t="s">
        <v>209</v>
      </c>
      <c r="H151" t="s">
        <v>714</v>
      </c>
      <c r="I151" t="s">
        <v>876</v>
      </c>
      <c r="J151" t="e">
        <f>VLOOKUP(F151,Registrations!G:G,1,0)</f>
        <v>#N/A</v>
      </c>
      <c r="K151" t="str">
        <f t="shared" si="2"/>
        <v>No</v>
      </c>
    </row>
    <row r="152" spans="2:11">
      <c r="B152" s="147">
        <v>150</v>
      </c>
      <c r="C152" s="158" t="s">
        <v>1195</v>
      </c>
      <c r="D152" s="148" t="s">
        <v>873</v>
      </c>
      <c r="E152" s="149" t="s">
        <v>161</v>
      </c>
      <c r="F152" t="s">
        <v>1196</v>
      </c>
      <c r="G152" t="s">
        <v>209</v>
      </c>
      <c r="H152" t="s">
        <v>1169</v>
      </c>
      <c r="I152" t="s">
        <v>876</v>
      </c>
      <c r="J152" t="e">
        <f>VLOOKUP(F152,Registrations!G:G,1,0)</f>
        <v>#N/A</v>
      </c>
      <c r="K152" t="s">
        <v>863</v>
      </c>
    </row>
    <row r="153" spans="2:11" ht="12.65" hidden="1">
      <c r="B153" s="147">
        <v>151</v>
      </c>
      <c r="C153" s="148" t="s">
        <v>1197</v>
      </c>
      <c r="D153" s="148" t="s">
        <v>1088</v>
      </c>
      <c r="E153" s="149" t="s">
        <v>161</v>
      </c>
      <c r="F153" t="s">
        <v>1198</v>
      </c>
      <c r="G153" t="s">
        <v>209</v>
      </c>
      <c r="H153" t="s">
        <v>302</v>
      </c>
      <c r="I153" t="s">
        <v>876</v>
      </c>
      <c r="J153" t="e">
        <f>VLOOKUP(F153,Registrations!G:G,1,0)</f>
        <v>#N/A</v>
      </c>
      <c r="K153" t="str">
        <f t="shared" si="2"/>
        <v>No</v>
      </c>
    </row>
    <row r="154" spans="2:11">
      <c r="B154" s="147">
        <v>152</v>
      </c>
      <c r="C154" s="158" t="s">
        <v>1199</v>
      </c>
      <c r="D154" s="148" t="s">
        <v>881</v>
      </c>
      <c r="E154" s="148" t="s">
        <v>993</v>
      </c>
      <c r="F154" t="s">
        <v>70</v>
      </c>
      <c r="G154" t="s">
        <v>174</v>
      </c>
      <c r="H154" t="s">
        <v>408</v>
      </c>
      <c r="I154" t="s">
        <v>876</v>
      </c>
      <c r="J154" t="str">
        <f>VLOOKUP(F154,Registrations!G:G,1,0)</f>
        <v>umakant.rapol@iiserpune.ac.in</v>
      </c>
      <c r="K154" t="str">
        <f t="shared" si="2"/>
        <v>Yes</v>
      </c>
    </row>
    <row r="155" spans="2:11">
      <c r="B155" s="147">
        <v>153</v>
      </c>
      <c r="C155" s="158" t="s">
        <v>1200</v>
      </c>
      <c r="D155" s="148" t="s">
        <v>1013</v>
      </c>
      <c r="E155" s="149" t="s">
        <v>1014</v>
      </c>
      <c r="F155" t="s">
        <v>418</v>
      </c>
      <c r="G155" t="s">
        <v>137</v>
      </c>
      <c r="H155" t="s">
        <v>420</v>
      </c>
      <c r="I155" t="s">
        <v>921</v>
      </c>
      <c r="J155" t="str">
        <f>VLOOKUP(F155,Registrations!G:G,1,0)</f>
        <v>usinha@rri.res.in</v>
      </c>
      <c r="K155" t="str">
        <f t="shared" si="2"/>
        <v>Yes</v>
      </c>
    </row>
    <row r="156" spans="2:11">
      <c r="B156" s="147">
        <v>154</v>
      </c>
      <c r="C156" s="158" t="s">
        <v>1201</v>
      </c>
      <c r="D156" s="148" t="s">
        <v>896</v>
      </c>
      <c r="E156" s="149" t="s">
        <v>879</v>
      </c>
      <c r="F156" t="s">
        <v>429</v>
      </c>
      <c r="G156" t="s">
        <v>137</v>
      </c>
      <c r="H156" t="s">
        <v>230</v>
      </c>
      <c r="I156" t="s">
        <v>876</v>
      </c>
      <c r="J156" t="str">
        <f>VLOOKUP(F156,Registrations!G:G,1,0)</f>
        <v>varunr@iisc.ac.in</v>
      </c>
      <c r="K156" t="str">
        <f t="shared" si="2"/>
        <v>Yes</v>
      </c>
    </row>
    <row r="157" spans="2:11" ht="12.65" hidden="1">
      <c r="B157" s="147">
        <v>155</v>
      </c>
      <c r="C157" s="148" t="s">
        <v>1202</v>
      </c>
      <c r="D157" s="148" t="s">
        <v>873</v>
      </c>
      <c r="E157" s="149" t="s">
        <v>1039</v>
      </c>
      <c r="F157" t="s">
        <v>1203</v>
      </c>
      <c r="G157" t="s">
        <v>137</v>
      </c>
      <c r="H157" t="s">
        <v>230</v>
      </c>
      <c r="I157" t="s">
        <v>876</v>
      </c>
      <c r="J157" t="e">
        <f>VLOOKUP(F157,Registrations!G:G,1,0)</f>
        <v>#N/A</v>
      </c>
      <c r="K157" t="str">
        <f t="shared" si="2"/>
        <v>No</v>
      </c>
    </row>
    <row r="158" spans="2:11" ht="12.65" hidden="1">
      <c r="B158" s="147">
        <v>156</v>
      </c>
      <c r="C158" s="148" t="s">
        <v>1204</v>
      </c>
      <c r="D158" s="148" t="s">
        <v>873</v>
      </c>
      <c r="E158" s="148" t="s">
        <v>874</v>
      </c>
      <c r="F158" t="s">
        <v>1205</v>
      </c>
      <c r="G158" t="s">
        <v>174</v>
      </c>
      <c r="H158" t="s">
        <v>202</v>
      </c>
      <c r="I158" t="s">
        <v>876</v>
      </c>
      <c r="J158" t="e">
        <f>VLOOKUP(F158,Registrations!G:G,1,0)</f>
        <v>#N/A</v>
      </c>
      <c r="K158" t="str">
        <f t="shared" si="2"/>
        <v>No</v>
      </c>
    </row>
    <row r="159" spans="2:11">
      <c r="B159" s="162">
        <v>157</v>
      </c>
      <c r="C159" s="159" t="s">
        <v>1206</v>
      </c>
      <c r="E159" s="148" t="s">
        <v>996</v>
      </c>
      <c r="F159" s="60" t="s">
        <v>362</v>
      </c>
      <c r="G159" t="s">
        <v>137</v>
      </c>
      <c r="H159" t="s">
        <v>364</v>
      </c>
      <c r="I159" t="s">
        <v>364</v>
      </c>
      <c r="J159" t="str">
        <f>VLOOKUP(F159,Registrations!G:G,1,0)</f>
        <v>sarada.gochhayat@iitjammu.ac.in</v>
      </c>
      <c r="K159" t="str">
        <f t="shared" si="2"/>
        <v>Yes</v>
      </c>
    </row>
  </sheetData>
  <autoFilter ref="B2:K159" xr:uid="{437B872A-8FD4-4649-BC65-66308212B272}">
    <filterColumn colId="9">
      <filters>
        <filter val="Yes"/>
      </filters>
    </filterColumn>
  </autoFilter>
  <hyperlinks>
    <hyperlink ref="F16" r:id="rId1" xr:uid="{0B7FAA7C-B4E6-4179-87E2-AAC9E9683403}"/>
    <hyperlink ref="F30" r:id="rId2" xr:uid="{F3123923-75C8-44E2-A659-360863035A82}"/>
    <hyperlink ref="F137" r:id="rId3" display="mailto:panda@cse.iitd.ac.in" xr:uid="{F696B491-C289-489A-A237-CF3ED164ECE2}"/>
    <hyperlink ref="F159" r:id="rId4" xr:uid="{3F95654C-B41B-4BD6-9F0A-211492A77D01}"/>
    <hyperlink ref="F132" r:id="rId5" xr:uid="{B937B969-20E2-4D0E-8776-BC0B6816A360}"/>
    <hyperlink ref="F131" r:id="rId6" xr:uid="{786F056C-55AF-4899-B9F0-EFBAD3E922C2}"/>
    <hyperlink ref="F148" r:id="rId7" xr:uid="{4208D408-9F6F-45D7-BDD1-259F3E854E79}"/>
    <hyperlink ref="F65" r:id="rId8" xr:uid="{DD3DA705-14C3-4E60-B2E0-2233F9111594}"/>
    <hyperlink ref="F55" r:id="rId9" xr:uid="{404CEF64-1F48-46CF-99EA-769365728F24}"/>
    <hyperlink ref="F147" r:id="rId10" xr:uid="{34ED8927-106E-4361-8C38-0802C6002BE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59F1-9B2A-4352-B7EC-C5DC76FF58B4}">
  <dimension ref="A1:D15"/>
  <sheetViews>
    <sheetView workbookViewId="0">
      <selection activeCell="A2" sqref="A2:A14"/>
    </sheetView>
  </sheetViews>
  <sheetFormatPr defaultRowHeight="12.5"/>
  <cols>
    <col min="1" max="1" width="26.453125" bestFit="1" customWidth="1"/>
    <col min="2" max="2" width="28.7265625" bestFit="1" customWidth="1"/>
    <col min="3" max="3" width="15.81640625" bestFit="1" customWidth="1"/>
  </cols>
  <sheetData>
    <row r="1" spans="1:4">
      <c r="A1" s="311" t="s">
        <v>2345</v>
      </c>
      <c r="B1" s="311" t="s">
        <v>2346</v>
      </c>
      <c r="C1" s="311" t="s">
        <v>43</v>
      </c>
      <c r="D1" s="167"/>
    </row>
    <row r="2" spans="1:4" ht="25">
      <c r="A2" s="589" t="s">
        <v>1355</v>
      </c>
      <c r="B2" s="311" t="s">
        <v>1082</v>
      </c>
      <c r="C2" s="388" t="s">
        <v>1356</v>
      </c>
      <c r="D2" s="167"/>
    </row>
    <row r="3" spans="1:4" ht="25">
      <c r="A3" s="589" t="s">
        <v>1357</v>
      </c>
      <c r="B3" s="311" t="s">
        <v>567</v>
      </c>
      <c r="C3" s="388" t="s">
        <v>1356</v>
      </c>
      <c r="D3" s="167"/>
    </row>
    <row r="4" spans="1:4" ht="25">
      <c r="A4" s="589" t="s">
        <v>75</v>
      </c>
      <c r="B4" s="311" t="s">
        <v>539</v>
      </c>
      <c r="C4" s="388" t="s">
        <v>1356</v>
      </c>
      <c r="D4" s="167"/>
    </row>
    <row r="5" spans="1:4" ht="25">
      <c r="A5" s="589" t="s">
        <v>1107</v>
      </c>
      <c r="B5" s="311" t="s">
        <v>733</v>
      </c>
      <c r="C5" s="388" t="s">
        <v>1356</v>
      </c>
      <c r="D5" s="167"/>
    </row>
    <row r="6" spans="1:4" ht="25">
      <c r="A6" s="590" t="s">
        <v>1091</v>
      </c>
      <c r="B6" s="19" t="s">
        <v>424</v>
      </c>
      <c r="C6" s="388" t="s">
        <v>1336</v>
      </c>
      <c r="D6" s="167"/>
    </row>
    <row r="7" spans="1:4" ht="37.5">
      <c r="A7" s="589" t="s">
        <v>1072</v>
      </c>
      <c r="B7" s="311" t="s">
        <v>438</v>
      </c>
      <c r="C7" s="388" t="s">
        <v>1336</v>
      </c>
      <c r="D7" s="167"/>
    </row>
    <row r="8" spans="1:4" ht="37.5">
      <c r="A8" s="589" t="s">
        <v>1023</v>
      </c>
      <c r="B8" s="311" t="s">
        <v>1026</v>
      </c>
      <c r="C8" s="388" t="s">
        <v>1336</v>
      </c>
      <c r="D8" s="167"/>
    </row>
    <row r="9" spans="1:4" ht="37.5">
      <c r="A9" s="644" t="s">
        <v>920</v>
      </c>
      <c r="B9" s="311" t="s">
        <v>399</v>
      </c>
      <c r="C9" s="388" t="s">
        <v>1336</v>
      </c>
      <c r="D9" s="167"/>
    </row>
    <row r="10" spans="1:4" ht="37.5">
      <c r="A10" s="644" t="s">
        <v>1337</v>
      </c>
      <c r="B10" s="311" t="s">
        <v>418</v>
      </c>
      <c r="C10" s="388" t="s">
        <v>1336</v>
      </c>
      <c r="D10" s="167"/>
    </row>
    <row r="11" spans="1:4" ht="25">
      <c r="A11" s="589" t="s">
        <v>1000</v>
      </c>
      <c r="B11" s="311" t="s">
        <v>319</v>
      </c>
      <c r="C11" s="388" t="s">
        <v>1361</v>
      </c>
      <c r="D11" s="167"/>
    </row>
    <row r="12" spans="1:4" ht="25">
      <c r="A12" s="589" t="s">
        <v>1363</v>
      </c>
      <c r="B12" s="311" t="s">
        <v>575</v>
      </c>
      <c r="C12" s="388" t="s">
        <v>1361</v>
      </c>
      <c r="D12" s="167"/>
    </row>
    <row r="13" spans="1:4" ht="25">
      <c r="A13" s="589" t="s">
        <v>1364</v>
      </c>
      <c r="B13" s="548" t="s">
        <v>477</v>
      </c>
      <c r="C13" s="388" t="s">
        <v>1365</v>
      </c>
      <c r="D13" s="167"/>
    </row>
    <row r="14" spans="1:4" ht="25">
      <c r="A14" s="589" t="s">
        <v>1167</v>
      </c>
      <c r="B14" s="311" t="s">
        <v>1168</v>
      </c>
      <c r="C14" s="388" t="s">
        <v>1365</v>
      </c>
      <c r="D14" s="167"/>
    </row>
    <row r="15" spans="1:4">
      <c r="A15" s="389"/>
      <c r="B15" s="311"/>
      <c r="C15" s="389"/>
      <c r="D15" s="167"/>
    </row>
  </sheetData>
  <hyperlinks>
    <hyperlink ref="B13" r:id="rId1" xr:uid="{3A761B0A-6784-497E-8F85-5946937883C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09DE-9251-4DBC-A047-594C7C4F71B1}">
  <dimension ref="A1:V28"/>
  <sheetViews>
    <sheetView tabSelected="1" topLeftCell="E1" zoomScale="115" zoomScaleNormal="115" workbookViewId="0">
      <pane ySplit="1" topLeftCell="A2" activePane="bottomLeft" state="frozen"/>
      <selection pane="bottomLeft" activeCell="A2" sqref="A2"/>
    </sheetView>
  </sheetViews>
  <sheetFormatPr defaultRowHeight="12.5"/>
  <cols>
    <col min="1" max="1" width="9.7265625" customWidth="1"/>
    <col min="2" max="2" width="17.81640625" customWidth="1"/>
    <col min="3" max="3" width="16.7265625" customWidth="1"/>
    <col min="4" max="4" width="12.7265625" customWidth="1"/>
    <col min="5" max="5" width="8.90625" bestFit="1" customWidth="1"/>
    <col min="6" max="7" width="13" customWidth="1"/>
    <col min="8" max="8" width="12.54296875" bestFit="1" customWidth="1"/>
    <col min="10" max="11" width="10.1796875" bestFit="1" customWidth="1"/>
    <col min="13" max="13" width="10.08984375" bestFit="1" customWidth="1"/>
    <col min="14" max="14" width="11.6328125" bestFit="1" customWidth="1"/>
    <col min="15" max="15" width="13.6328125" customWidth="1"/>
    <col min="17" max="17" width="12.08984375" customWidth="1"/>
    <col min="18" max="18" width="16.6328125" customWidth="1"/>
    <col min="20" max="20" width="15" customWidth="1"/>
    <col min="21" max="21" width="10.81640625" customWidth="1"/>
    <col min="22" max="22" width="11.453125" customWidth="1"/>
  </cols>
  <sheetData>
    <row r="1" spans="1:22" ht="39">
      <c r="A1" s="309" t="s">
        <v>1895</v>
      </c>
      <c r="B1" s="306" t="s">
        <v>1866</v>
      </c>
      <c r="C1" s="307" t="s">
        <v>1312</v>
      </c>
      <c r="D1" s="307" t="s">
        <v>1867</v>
      </c>
      <c r="E1" s="307" t="s">
        <v>1868</v>
      </c>
      <c r="F1" s="308" t="s">
        <v>41</v>
      </c>
      <c r="G1" s="307" t="s">
        <v>1869</v>
      </c>
      <c r="H1" s="307" t="s">
        <v>1320</v>
      </c>
      <c r="I1" s="307" t="s">
        <v>1870</v>
      </c>
      <c r="J1" s="307" t="s">
        <v>1317</v>
      </c>
      <c r="K1" s="307" t="s">
        <v>1318</v>
      </c>
      <c r="L1" s="307" t="s">
        <v>1898</v>
      </c>
      <c r="M1" s="318" t="s">
        <v>1876</v>
      </c>
      <c r="N1" s="318" t="s">
        <v>1877</v>
      </c>
      <c r="O1" s="318" t="s">
        <v>1873</v>
      </c>
      <c r="P1" s="318" t="s">
        <v>1694</v>
      </c>
      <c r="Q1" s="318" t="s">
        <v>1871</v>
      </c>
      <c r="R1" s="317" t="s">
        <v>1872</v>
      </c>
      <c r="S1" s="317" t="s">
        <v>1873</v>
      </c>
      <c r="T1" s="317" t="s">
        <v>1874</v>
      </c>
      <c r="U1" s="317" t="s">
        <v>1878</v>
      </c>
      <c r="V1" s="317" t="s">
        <v>1875</v>
      </c>
    </row>
    <row r="2" spans="1:22">
      <c r="A2" s="311"/>
      <c r="B2" s="309" t="s">
        <v>1519</v>
      </c>
      <c r="C2" s="310" t="s">
        <v>1639</v>
      </c>
      <c r="D2" s="311"/>
      <c r="E2" s="309" t="s">
        <v>2295</v>
      </c>
      <c r="F2" s="311" t="s">
        <v>1882</v>
      </c>
      <c r="G2" s="309" t="s">
        <v>1327</v>
      </c>
      <c r="H2" s="311" t="s">
        <v>1330</v>
      </c>
      <c r="I2" s="311" t="s">
        <v>1879</v>
      </c>
      <c r="J2" s="312">
        <v>46121</v>
      </c>
      <c r="K2" s="312">
        <v>46123</v>
      </c>
      <c r="L2" s="311">
        <f t="shared" ref="L2:L16" si="0">K2-J2</f>
        <v>2</v>
      </c>
      <c r="M2" s="312">
        <v>46121</v>
      </c>
      <c r="N2" s="313" t="s">
        <v>1862</v>
      </c>
      <c r="O2" s="309" t="s">
        <v>1863</v>
      </c>
      <c r="P2" s="311" t="s">
        <v>1384</v>
      </c>
      <c r="Q2" s="311"/>
      <c r="R2" s="312">
        <v>46123</v>
      </c>
      <c r="S2" s="309" t="s">
        <v>1864</v>
      </c>
      <c r="T2" s="314">
        <v>0.70833333333333337</v>
      </c>
      <c r="U2" s="313" t="s">
        <v>1865</v>
      </c>
      <c r="V2" s="309" t="s">
        <v>1384</v>
      </c>
    </row>
    <row r="3" spans="1:22" ht="25">
      <c r="A3" s="309" t="s">
        <v>1368</v>
      </c>
      <c r="B3" s="309" t="s">
        <v>1894</v>
      </c>
      <c r="C3" s="310" t="s">
        <v>1334</v>
      </c>
      <c r="D3" s="311"/>
      <c r="E3" s="309" t="s">
        <v>2295</v>
      </c>
      <c r="F3" s="311" t="s">
        <v>1882</v>
      </c>
      <c r="G3" s="309" t="s">
        <v>1327</v>
      </c>
      <c r="H3" s="311" t="s">
        <v>1330</v>
      </c>
      <c r="I3" s="311" t="s">
        <v>1879</v>
      </c>
      <c r="J3" s="312">
        <v>46121</v>
      </c>
      <c r="K3" s="312">
        <v>46123</v>
      </c>
      <c r="L3" s="311">
        <f t="shared" si="0"/>
        <v>2</v>
      </c>
      <c r="M3" s="312">
        <v>46121</v>
      </c>
      <c r="N3" s="315">
        <v>0.80208333333333337</v>
      </c>
      <c r="O3" s="311" t="s">
        <v>1383</v>
      </c>
      <c r="P3" s="311" t="s">
        <v>1384</v>
      </c>
      <c r="Q3" t="s">
        <v>2452</v>
      </c>
      <c r="R3" s="312">
        <v>46123</v>
      </c>
      <c r="S3" s="311" t="s">
        <v>2601</v>
      </c>
      <c r="T3" s="311"/>
      <c r="U3" s="315">
        <v>0.77083333333333337</v>
      </c>
      <c r="V3" s="311" t="s">
        <v>1384</v>
      </c>
    </row>
    <row r="4" spans="1:22" ht="25">
      <c r="A4" s="309" t="s">
        <v>1370</v>
      </c>
      <c r="B4" s="311"/>
      <c r="C4" s="310" t="s">
        <v>1692</v>
      </c>
      <c r="D4" s="311"/>
      <c r="E4" s="309" t="s">
        <v>2295</v>
      </c>
      <c r="F4" s="311" t="s">
        <v>1882</v>
      </c>
      <c r="G4" s="309" t="s">
        <v>1327</v>
      </c>
      <c r="H4" s="311" t="s">
        <v>1330</v>
      </c>
      <c r="I4" s="311" t="s">
        <v>1879</v>
      </c>
      <c r="J4" s="312">
        <v>46122</v>
      </c>
      <c r="K4" s="312">
        <v>46123</v>
      </c>
      <c r="L4" s="311">
        <f t="shared" si="0"/>
        <v>1</v>
      </c>
      <c r="M4" s="312">
        <v>46122</v>
      </c>
      <c r="N4" s="315">
        <v>0.36805555555555558</v>
      </c>
      <c r="O4" s="316" t="s">
        <v>1693</v>
      </c>
      <c r="P4" s="311" t="s">
        <v>1384</v>
      </c>
      <c r="Q4" s="311" t="s">
        <v>2452</v>
      </c>
      <c r="R4" s="312">
        <v>46123</v>
      </c>
      <c r="S4" s="311"/>
      <c r="T4" s="311"/>
      <c r="U4" s="315">
        <v>0.72916666666666663</v>
      </c>
      <c r="V4" s="311" t="s">
        <v>1384</v>
      </c>
    </row>
    <row r="5" spans="1:22">
      <c r="A5" s="311"/>
      <c r="B5" s="309" t="s">
        <v>761</v>
      </c>
      <c r="C5" s="311" t="s">
        <v>1759</v>
      </c>
      <c r="D5" s="311"/>
      <c r="E5" s="309" t="s">
        <v>2296</v>
      </c>
      <c r="F5" s="311" t="s">
        <v>1882</v>
      </c>
      <c r="G5" s="309" t="s">
        <v>1327</v>
      </c>
      <c r="H5" s="311" t="s">
        <v>1326</v>
      </c>
      <c r="I5" s="311" t="s">
        <v>1879</v>
      </c>
      <c r="J5" s="312">
        <v>46122</v>
      </c>
      <c r="K5" s="312">
        <v>46122</v>
      </c>
      <c r="L5" s="311">
        <f t="shared" si="0"/>
        <v>0</v>
      </c>
      <c r="M5" s="312">
        <v>46122</v>
      </c>
      <c r="N5" s="315">
        <v>0.4375</v>
      </c>
      <c r="O5" s="311" t="s">
        <v>1760</v>
      </c>
      <c r="P5" s="311" t="s">
        <v>1384</v>
      </c>
      <c r="Q5" s="311" t="s">
        <v>2452</v>
      </c>
      <c r="R5" s="312">
        <v>46122</v>
      </c>
      <c r="S5" s="311"/>
      <c r="T5" s="311"/>
      <c r="U5" s="315">
        <v>0.92361111111111116</v>
      </c>
      <c r="V5" s="311" t="s">
        <v>1384</v>
      </c>
    </row>
    <row r="6" spans="1:22" ht="25">
      <c r="A6" s="309" t="s">
        <v>2356</v>
      </c>
      <c r="B6" s="309" t="s">
        <v>1897</v>
      </c>
      <c r="C6" s="309" t="s">
        <v>1896</v>
      </c>
      <c r="D6" s="311"/>
      <c r="E6" s="309" t="s">
        <v>2297</v>
      </c>
      <c r="F6" s="311" t="s">
        <v>1882</v>
      </c>
      <c r="G6" s="309" t="s">
        <v>1327</v>
      </c>
      <c r="H6" s="311" t="s">
        <v>1330</v>
      </c>
      <c r="I6" s="311" t="s">
        <v>1879</v>
      </c>
      <c r="J6" s="312"/>
      <c r="K6" s="312"/>
      <c r="L6" s="311">
        <f t="shared" si="0"/>
        <v>0</v>
      </c>
      <c r="M6" s="312">
        <v>46121</v>
      </c>
      <c r="N6" s="315">
        <v>0.89236111111111116</v>
      </c>
      <c r="O6" s="311" t="s">
        <v>2631</v>
      </c>
      <c r="P6" s="311" t="s">
        <v>1384</v>
      </c>
      <c r="Q6" s="311"/>
      <c r="R6" s="312">
        <v>46123</v>
      </c>
      <c r="S6" s="311" t="s">
        <v>2601</v>
      </c>
      <c r="T6" s="311"/>
      <c r="U6" s="315">
        <v>0.77083333333333337</v>
      </c>
      <c r="V6" s="311" t="s">
        <v>1384</v>
      </c>
    </row>
    <row r="7" spans="1:22" ht="25">
      <c r="A7" s="309" t="s">
        <v>1366</v>
      </c>
      <c r="B7" s="311" t="s">
        <v>2211</v>
      </c>
      <c r="C7" s="309" t="s">
        <v>2743</v>
      </c>
      <c r="D7" s="311"/>
      <c r="E7" s="309"/>
      <c r="F7" s="311"/>
      <c r="G7" s="309"/>
      <c r="H7" s="311"/>
      <c r="I7" s="311"/>
      <c r="J7" s="312"/>
      <c r="K7" s="312"/>
      <c r="L7" s="311"/>
      <c r="M7" s="312"/>
      <c r="N7" s="315"/>
      <c r="O7" s="311"/>
      <c r="P7" s="311"/>
      <c r="Q7" s="167"/>
      <c r="R7" s="312"/>
      <c r="S7" s="311"/>
      <c r="T7" s="311"/>
      <c r="U7" s="315"/>
      <c r="V7" s="311"/>
    </row>
    <row r="8" spans="1:22" ht="25">
      <c r="A8" s="311"/>
      <c r="B8" s="311" t="s">
        <v>1329</v>
      </c>
      <c r="C8" s="311" t="s">
        <v>1328</v>
      </c>
      <c r="D8" s="311"/>
      <c r="E8" s="309" t="s">
        <v>2295</v>
      </c>
      <c r="F8" s="311" t="s">
        <v>1882</v>
      </c>
      <c r="G8" s="309" t="s">
        <v>1327</v>
      </c>
      <c r="H8" s="311" t="s">
        <v>1330</v>
      </c>
      <c r="I8" s="311" t="s">
        <v>1879</v>
      </c>
      <c r="J8" s="312">
        <v>46121</v>
      </c>
      <c r="K8" s="312">
        <v>46123</v>
      </c>
      <c r="L8" s="311">
        <f t="shared" si="0"/>
        <v>2</v>
      </c>
      <c r="M8" s="312">
        <v>46121</v>
      </c>
      <c r="N8" s="315">
        <v>0.80902777777777779</v>
      </c>
      <c r="O8" s="311" t="s">
        <v>2205</v>
      </c>
      <c r="P8" s="311" t="s">
        <v>1384</v>
      </c>
      <c r="Q8" t="s">
        <v>2452</v>
      </c>
      <c r="R8" s="312">
        <v>46123</v>
      </c>
      <c r="S8" s="311" t="s">
        <v>2206</v>
      </c>
      <c r="T8" s="311"/>
      <c r="U8" s="315">
        <v>0.60763888888888884</v>
      </c>
      <c r="V8" s="311" t="s">
        <v>1384</v>
      </c>
    </row>
    <row r="9" spans="1:22" ht="25">
      <c r="A9" s="311"/>
      <c r="B9" s="311" t="s">
        <v>1332</v>
      </c>
      <c r="C9" s="311" t="s">
        <v>1331</v>
      </c>
      <c r="D9" s="311"/>
      <c r="E9" s="309" t="s">
        <v>2295</v>
      </c>
      <c r="F9" s="311" t="s">
        <v>1882</v>
      </c>
      <c r="G9" s="309" t="s">
        <v>1327</v>
      </c>
      <c r="H9" s="311" t="s">
        <v>1330</v>
      </c>
      <c r="I9" s="311" t="s">
        <v>1879</v>
      </c>
      <c r="J9" s="312">
        <v>46121</v>
      </c>
      <c r="K9" s="312">
        <v>46123</v>
      </c>
      <c r="L9" s="311">
        <f t="shared" si="0"/>
        <v>2</v>
      </c>
      <c r="M9" s="312">
        <v>46121</v>
      </c>
      <c r="N9" s="311"/>
      <c r="O9" s="311"/>
      <c r="P9" s="311"/>
      <c r="Q9" t="s">
        <v>2452</v>
      </c>
      <c r="R9" s="312">
        <v>46123</v>
      </c>
      <c r="S9" s="311"/>
      <c r="T9" s="311"/>
      <c r="U9" s="311"/>
      <c r="V9" s="311"/>
    </row>
    <row r="10" spans="1:22" ht="25">
      <c r="A10" s="311"/>
      <c r="B10" s="311" t="s">
        <v>1899</v>
      </c>
      <c r="C10" s="388" t="s">
        <v>1323</v>
      </c>
      <c r="D10" s="311"/>
      <c r="E10" s="309"/>
      <c r="F10" s="311" t="s">
        <v>1882</v>
      </c>
      <c r="G10" s="309" t="s">
        <v>1327</v>
      </c>
      <c r="H10" s="311" t="s">
        <v>1326</v>
      </c>
      <c r="I10" s="311" t="s">
        <v>1879</v>
      </c>
      <c r="J10" s="312"/>
      <c r="K10" s="312"/>
      <c r="L10" s="311">
        <f t="shared" si="0"/>
        <v>0</v>
      </c>
      <c r="M10" s="311"/>
      <c r="N10" s="311"/>
      <c r="O10" s="311"/>
      <c r="P10" s="311"/>
      <c r="Q10" s="311"/>
      <c r="R10" s="311"/>
      <c r="S10" s="311"/>
      <c r="T10" s="311"/>
      <c r="U10" s="311"/>
      <c r="V10" s="311"/>
    </row>
    <row r="11" spans="1:22" s="190" customFormat="1" ht="37.5" customHeight="1">
      <c r="A11" s="389" t="s">
        <v>2204</v>
      </c>
      <c r="B11" s="388"/>
      <c r="C11" s="388" t="s">
        <v>1340</v>
      </c>
      <c r="D11" s="388">
        <v>9322200001</v>
      </c>
      <c r="E11" s="389" t="s">
        <v>2296</v>
      </c>
      <c r="F11" s="311" t="s">
        <v>1882</v>
      </c>
      <c r="G11" s="311" t="s">
        <v>1327</v>
      </c>
      <c r="H11" s="311" t="s">
        <v>1330</v>
      </c>
      <c r="I11" s="311" t="s">
        <v>1879</v>
      </c>
      <c r="J11" s="312">
        <v>46120</v>
      </c>
      <c r="K11" s="312">
        <v>46124</v>
      </c>
      <c r="L11" s="311">
        <f t="shared" si="0"/>
        <v>4</v>
      </c>
      <c r="M11" s="465">
        <v>46120</v>
      </c>
      <c r="N11" s="475">
        <v>0.625</v>
      </c>
      <c r="O11" s="466" t="s">
        <v>2451</v>
      </c>
      <c r="P11" s="467" t="s">
        <v>2589</v>
      </c>
      <c r="Q11" s="649" t="s">
        <v>2588</v>
      </c>
      <c r="R11" s="465">
        <v>46124</v>
      </c>
      <c r="S11" s="388"/>
      <c r="T11" s="388"/>
      <c r="U11" s="388"/>
      <c r="V11" s="388"/>
    </row>
    <row r="12" spans="1:22">
      <c r="A12" s="311"/>
      <c r="B12" s="311" t="s">
        <v>1519</v>
      </c>
      <c r="C12" s="388" t="s">
        <v>1343</v>
      </c>
      <c r="D12" s="311"/>
      <c r="E12" s="311"/>
      <c r="F12" s="311" t="s">
        <v>1882</v>
      </c>
      <c r="G12" s="309" t="s">
        <v>1327</v>
      </c>
      <c r="H12" s="311" t="s">
        <v>1326</v>
      </c>
      <c r="I12" s="311" t="s">
        <v>1879</v>
      </c>
      <c r="J12" s="312"/>
      <c r="K12" s="312"/>
      <c r="L12" s="311">
        <f t="shared" si="0"/>
        <v>0</v>
      </c>
      <c r="M12" s="311"/>
      <c r="N12" s="311"/>
      <c r="O12" s="311"/>
      <c r="P12" s="311"/>
      <c r="Q12" s="311"/>
      <c r="R12" s="311"/>
      <c r="S12" s="311"/>
      <c r="T12" s="311"/>
      <c r="U12" s="311"/>
      <c r="V12" s="311"/>
    </row>
    <row r="13" spans="1:22">
      <c r="A13" s="311"/>
      <c r="B13" s="311" t="s">
        <v>1519</v>
      </c>
      <c r="C13" s="388" t="s">
        <v>1346</v>
      </c>
      <c r="D13" s="311"/>
      <c r="E13" s="311"/>
      <c r="F13" s="311" t="s">
        <v>1882</v>
      </c>
      <c r="G13" s="309" t="s">
        <v>1327</v>
      </c>
      <c r="H13" s="311" t="s">
        <v>1326</v>
      </c>
      <c r="I13" s="311" t="s">
        <v>1879</v>
      </c>
      <c r="J13" s="312"/>
      <c r="K13" s="312"/>
      <c r="L13" s="311">
        <f t="shared" si="0"/>
        <v>0</v>
      </c>
      <c r="M13" s="311"/>
      <c r="N13" s="311"/>
      <c r="O13" s="311"/>
      <c r="P13" s="311"/>
      <c r="Q13" s="311"/>
      <c r="R13" s="311"/>
      <c r="S13" s="311"/>
      <c r="T13" s="311"/>
      <c r="U13" s="311"/>
      <c r="V13" s="311"/>
    </row>
    <row r="14" spans="1:22">
      <c r="A14" s="311"/>
      <c r="B14" s="311" t="s">
        <v>1519</v>
      </c>
      <c r="C14" s="388" t="s">
        <v>1347</v>
      </c>
      <c r="D14" s="311"/>
      <c r="E14" s="311"/>
      <c r="F14" s="311" t="s">
        <v>1882</v>
      </c>
      <c r="G14" s="309" t="s">
        <v>1327</v>
      </c>
      <c r="H14" s="311" t="s">
        <v>1326</v>
      </c>
      <c r="I14" s="311" t="s">
        <v>1879</v>
      </c>
      <c r="J14" s="312"/>
      <c r="K14" s="312"/>
      <c r="L14" s="311">
        <f t="shared" si="0"/>
        <v>0</v>
      </c>
      <c r="M14" s="311"/>
      <c r="N14" s="311"/>
      <c r="O14" s="311"/>
      <c r="P14" s="311"/>
      <c r="Q14" s="311"/>
      <c r="R14" s="311"/>
      <c r="S14" s="311"/>
      <c r="T14" s="311"/>
      <c r="U14" s="311"/>
      <c r="V14" s="311"/>
    </row>
    <row r="15" spans="1:22">
      <c r="A15" s="311"/>
      <c r="B15" s="311" t="s">
        <v>1519</v>
      </c>
      <c r="C15" s="389" t="s">
        <v>1535</v>
      </c>
      <c r="D15" s="311"/>
      <c r="E15" s="311"/>
      <c r="F15" s="311" t="s">
        <v>1882</v>
      </c>
      <c r="G15" s="309" t="s">
        <v>1327</v>
      </c>
      <c r="H15" s="311" t="s">
        <v>1326</v>
      </c>
      <c r="I15" s="311" t="s">
        <v>1879</v>
      </c>
      <c r="J15" s="312"/>
      <c r="K15" s="312"/>
      <c r="L15" s="311">
        <f t="shared" si="0"/>
        <v>0</v>
      </c>
      <c r="M15" s="311"/>
      <c r="N15" s="311"/>
      <c r="O15" s="311"/>
      <c r="P15" s="311"/>
      <c r="Q15" s="311"/>
      <c r="R15" s="311"/>
      <c r="S15" s="311"/>
      <c r="T15" s="311"/>
      <c r="U15" s="311"/>
      <c r="V15" s="311"/>
    </row>
    <row r="16" spans="1:22">
      <c r="A16" s="311"/>
      <c r="B16" s="311" t="s">
        <v>1519</v>
      </c>
      <c r="C16" s="388" t="s">
        <v>1348</v>
      </c>
      <c r="D16" s="311"/>
      <c r="E16" s="311"/>
      <c r="F16" s="311" t="s">
        <v>1882</v>
      </c>
      <c r="G16" s="309" t="s">
        <v>1327</v>
      </c>
      <c r="H16" s="311" t="s">
        <v>1326</v>
      </c>
      <c r="I16" s="311" t="s">
        <v>1879</v>
      </c>
      <c r="J16" s="312"/>
      <c r="K16" s="312"/>
      <c r="L16" s="311">
        <f t="shared" si="0"/>
        <v>0</v>
      </c>
      <c r="M16" s="311"/>
      <c r="N16" s="311"/>
      <c r="O16" s="311"/>
      <c r="P16" s="311"/>
      <c r="Q16" s="311"/>
      <c r="R16" s="311"/>
      <c r="S16" s="311"/>
      <c r="T16" s="311"/>
      <c r="U16" s="311"/>
      <c r="V16" s="311"/>
    </row>
    <row r="17" spans="1:22">
      <c r="A17" s="311"/>
      <c r="B17" s="311" t="s">
        <v>1519</v>
      </c>
      <c r="C17" s="388" t="s">
        <v>1349</v>
      </c>
      <c r="D17" s="311"/>
      <c r="E17" s="311"/>
      <c r="F17" s="311" t="s">
        <v>1882</v>
      </c>
      <c r="G17" s="309" t="s">
        <v>1327</v>
      </c>
      <c r="H17" s="311" t="s">
        <v>1326</v>
      </c>
      <c r="I17" s="311" t="s">
        <v>1879</v>
      </c>
      <c r="J17" s="312"/>
      <c r="K17" s="312"/>
      <c r="L17" s="311"/>
      <c r="M17" s="311"/>
      <c r="N17" s="311"/>
      <c r="O17" s="311"/>
      <c r="P17" s="311"/>
      <c r="Q17" s="311"/>
      <c r="R17" s="311"/>
      <c r="S17" s="311"/>
      <c r="T17" s="311"/>
      <c r="U17" s="311"/>
      <c r="V17" s="311"/>
    </row>
    <row r="18" spans="1:22" s="526" customFormat="1">
      <c r="A18" s="522"/>
      <c r="B18" s="522" t="s">
        <v>1519</v>
      </c>
      <c r="C18" s="523" t="s">
        <v>1350</v>
      </c>
      <c r="D18" s="522"/>
      <c r="E18" s="522"/>
      <c r="F18" s="522" t="s">
        <v>1882</v>
      </c>
      <c r="G18" s="524" t="s">
        <v>1327</v>
      </c>
      <c r="H18" s="522" t="s">
        <v>1326</v>
      </c>
      <c r="I18" s="522" t="s">
        <v>1879</v>
      </c>
      <c r="J18" s="525"/>
      <c r="K18" s="525"/>
      <c r="L18" s="522">
        <v>3</v>
      </c>
      <c r="M18" s="525">
        <v>46121</v>
      </c>
      <c r="N18" s="647">
        <v>0.60069444444444442</v>
      </c>
      <c r="O18" s="522" t="s">
        <v>2496</v>
      </c>
      <c r="P18" s="522"/>
      <c r="Q18" s="522"/>
      <c r="R18" s="525">
        <v>46124</v>
      </c>
      <c r="S18" s="522" t="s">
        <v>2497</v>
      </c>
      <c r="T18" s="522"/>
      <c r="U18" s="522">
        <v>1630</v>
      </c>
      <c r="V18" s="522"/>
    </row>
    <row r="19" spans="1:22">
      <c r="A19" s="311"/>
      <c r="B19" s="311"/>
      <c r="C19" s="311" t="s">
        <v>2210</v>
      </c>
      <c r="D19" s="311"/>
      <c r="E19" s="311"/>
      <c r="F19" s="311" t="s">
        <v>1882</v>
      </c>
      <c r="G19" s="309"/>
      <c r="H19" s="311"/>
      <c r="I19" s="311" t="s">
        <v>1879</v>
      </c>
      <c r="J19" s="312"/>
      <c r="K19" s="312"/>
      <c r="L19" s="311"/>
      <c r="M19" s="311"/>
      <c r="N19" s="311"/>
      <c r="O19" s="311"/>
      <c r="P19" s="311"/>
      <c r="Q19" s="311"/>
      <c r="R19" s="311"/>
      <c r="S19" s="311"/>
      <c r="T19" s="311"/>
      <c r="U19" s="311"/>
      <c r="V19" s="311"/>
    </row>
    <row r="20" spans="1:22" ht="37.5">
      <c r="A20" s="311"/>
      <c r="B20" s="311"/>
      <c r="C20" s="311" t="s">
        <v>2097</v>
      </c>
      <c r="D20" s="311"/>
      <c r="E20" s="311"/>
      <c r="F20" s="311" t="s">
        <v>1882</v>
      </c>
      <c r="G20" s="309"/>
      <c r="H20" s="311"/>
      <c r="I20" s="311" t="s">
        <v>1879</v>
      </c>
      <c r="J20" s="312"/>
      <c r="K20" s="312"/>
      <c r="L20" s="311"/>
      <c r="M20" s="311"/>
      <c r="N20" s="311"/>
      <c r="O20" s="311"/>
      <c r="P20" s="311"/>
      <c r="Q20" s="311"/>
      <c r="R20" s="311"/>
      <c r="S20" s="311"/>
      <c r="T20" s="311"/>
      <c r="U20" s="311"/>
      <c r="V20" s="311"/>
    </row>
    <row r="21" spans="1:22" ht="14.5">
      <c r="A21" s="309" t="s">
        <v>1445</v>
      </c>
      <c r="B21" s="311" t="s">
        <v>2121</v>
      </c>
      <c r="C21" s="311" t="s">
        <v>1342</v>
      </c>
      <c r="D21" s="311"/>
      <c r="E21" s="311" t="s">
        <v>2295</v>
      </c>
      <c r="F21" s="311" t="s">
        <v>1882</v>
      </c>
      <c r="G21" s="309"/>
      <c r="H21" s="311"/>
      <c r="I21" s="311" t="s">
        <v>1879</v>
      </c>
      <c r="J21" s="312">
        <v>46121</v>
      </c>
      <c r="K21" s="312">
        <v>46122</v>
      </c>
      <c r="L21" s="311">
        <v>1</v>
      </c>
      <c r="M21" s="312">
        <v>46121</v>
      </c>
      <c r="N21" s="315">
        <v>0.47569444444444442</v>
      </c>
      <c r="O21" s="445" t="s">
        <v>2353</v>
      </c>
      <c r="P21" s="311" t="s">
        <v>1384</v>
      </c>
      <c r="Q21" t="s">
        <v>2452</v>
      </c>
      <c r="R21" s="312">
        <v>46122</v>
      </c>
      <c r="S21" s="446" t="s">
        <v>2354</v>
      </c>
      <c r="T21" s="311"/>
      <c r="U21" s="447">
        <v>0.84375</v>
      </c>
      <c r="V21" s="311" t="s">
        <v>1385</v>
      </c>
    </row>
    <row r="22" spans="1:22" ht="25">
      <c r="A22" s="311"/>
      <c r="B22" s="311" t="s">
        <v>2213</v>
      </c>
      <c r="C22" s="311" t="s">
        <v>2212</v>
      </c>
      <c r="D22" s="311"/>
      <c r="E22" s="311"/>
      <c r="F22" s="311" t="s">
        <v>1882</v>
      </c>
      <c r="G22" s="309"/>
      <c r="H22" s="311"/>
      <c r="I22" s="311" t="s">
        <v>1879</v>
      </c>
      <c r="J22" s="312">
        <v>46121</v>
      </c>
      <c r="K22" s="312">
        <v>46124</v>
      </c>
      <c r="L22" s="311">
        <v>3</v>
      </c>
      <c r="M22" s="312">
        <v>46121</v>
      </c>
      <c r="N22" s="18">
        <v>0.51736111111111116</v>
      </c>
      <c r="O22" s="311" t="s">
        <v>2481</v>
      </c>
      <c r="P22" s="311" t="s">
        <v>1384</v>
      </c>
      <c r="Q22" t="s">
        <v>2452</v>
      </c>
      <c r="R22" s="312">
        <v>46124</v>
      </c>
      <c r="S22" t="s">
        <v>2482</v>
      </c>
      <c r="T22" s="311"/>
      <c r="U22" s="18">
        <v>0.39583333333333331</v>
      </c>
      <c r="V22" s="311" t="s">
        <v>1384</v>
      </c>
    </row>
    <row r="23" spans="1:22" ht="37.5">
      <c r="A23" s="311"/>
      <c r="B23" s="311" t="s">
        <v>2215</v>
      </c>
      <c r="C23" s="311" t="s">
        <v>2214</v>
      </c>
      <c r="D23" s="311"/>
      <c r="E23" s="311"/>
      <c r="F23" s="311" t="s">
        <v>1882</v>
      </c>
      <c r="G23" s="309"/>
      <c r="H23" s="311"/>
      <c r="I23" s="311" t="s">
        <v>1879</v>
      </c>
      <c r="J23" s="312"/>
      <c r="K23" s="312"/>
      <c r="L23" s="311"/>
      <c r="M23" s="311"/>
      <c r="N23" s="311"/>
      <c r="O23" s="311"/>
      <c r="P23" s="311"/>
      <c r="Q23" s="311"/>
      <c r="R23" s="311"/>
      <c r="S23" s="311"/>
      <c r="T23" s="311"/>
      <c r="U23" s="311"/>
      <c r="V23" s="311"/>
    </row>
    <row r="24" spans="1:22" ht="50">
      <c r="A24" s="311"/>
      <c r="B24" s="311" t="s">
        <v>2203</v>
      </c>
      <c r="C24" s="311" t="s">
        <v>2216</v>
      </c>
      <c r="D24" s="311"/>
      <c r="E24" s="311"/>
      <c r="F24" s="311" t="s">
        <v>1882</v>
      </c>
      <c r="G24" s="309"/>
      <c r="H24" s="311"/>
      <c r="I24" s="311" t="s">
        <v>1879</v>
      </c>
      <c r="J24" s="312"/>
      <c r="K24" s="312"/>
      <c r="L24" s="311"/>
      <c r="M24" s="311"/>
      <c r="N24" s="311"/>
      <c r="O24" s="311"/>
      <c r="P24" s="311"/>
      <c r="Q24" s="311"/>
      <c r="R24" s="311"/>
      <c r="S24" s="311"/>
      <c r="T24" s="311"/>
      <c r="U24" s="311"/>
      <c r="V24" s="311"/>
    </row>
    <row r="25" spans="1:22">
      <c r="A25" s="311"/>
      <c r="B25" s="311" t="s">
        <v>2218</v>
      </c>
      <c r="C25" s="311" t="s">
        <v>2217</v>
      </c>
      <c r="D25" s="311"/>
      <c r="E25" s="311"/>
      <c r="F25" s="311" t="s">
        <v>1882</v>
      </c>
      <c r="G25" s="309" t="s">
        <v>1327</v>
      </c>
      <c r="H25" s="311" t="s">
        <v>1326</v>
      </c>
      <c r="I25" s="311" t="s">
        <v>1879</v>
      </c>
      <c r="J25" s="312"/>
      <c r="K25" s="312"/>
      <c r="L25" s="311"/>
      <c r="M25" s="311"/>
      <c r="N25" s="311"/>
      <c r="O25" s="311"/>
      <c r="P25" s="311"/>
      <c r="Q25" s="311"/>
      <c r="R25" s="311"/>
      <c r="S25" s="311"/>
      <c r="T25" s="311"/>
      <c r="U25" s="311"/>
      <c r="V25" s="311"/>
    </row>
    <row r="26" spans="1:22">
      <c r="A26" s="311"/>
      <c r="B26" s="311"/>
      <c r="C26" s="311"/>
      <c r="D26" s="311"/>
      <c r="E26" s="311"/>
      <c r="F26" s="311"/>
      <c r="G26" s="309"/>
      <c r="H26" s="311"/>
      <c r="I26" s="311" t="s">
        <v>1879</v>
      </c>
      <c r="J26" s="312"/>
      <c r="K26" s="312"/>
      <c r="L26" s="311"/>
      <c r="M26" s="311"/>
      <c r="N26" s="311"/>
      <c r="O26" s="311"/>
      <c r="P26" s="311"/>
      <c r="Q26" s="311"/>
      <c r="R26" s="311"/>
      <c r="S26" s="311"/>
      <c r="T26" s="311"/>
      <c r="U26" s="311"/>
      <c r="V26" s="311"/>
    </row>
    <row r="27" spans="1:22">
      <c r="A27" s="311"/>
      <c r="B27" s="311"/>
      <c r="C27" s="311"/>
      <c r="D27" s="311"/>
      <c r="E27" s="311"/>
      <c r="F27" s="311"/>
      <c r="G27" s="309"/>
      <c r="H27" s="311"/>
      <c r="I27" s="311" t="s">
        <v>1879</v>
      </c>
      <c r="J27" s="312"/>
      <c r="K27" s="312"/>
      <c r="L27" s="311"/>
      <c r="M27" s="311"/>
      <c r="N27" s="311"/>
      <c r="O27" s="311"/>
      <c r="P27" s="311"/>
      <c r="Q27" s="311"/>
      <c r="R27" s="311"/>
      <c r="S27" s="311"/>
      <c r="T27" s="311"/>
      <c r="U27" s="311"/>
      <c r="V27" s="311"/>
    </row>
    <row r="28" spans="1:22">
      <c r="A28" s="311"/>
      <c r="B28" s="311"/>
      <c r="C28" s="311"/>
      <c r="D28" s="311"/>
      <c r="E28" s="311"/>
      <c r="F28" s="311"/>
      <c r="G28" s="309"/>
      <c r="H28" s="311"/>
      <c r="I28" s="311" t="s">
        <v>1879</v>
      </c>
      <c r="J28" s="312"/>
      <c r="K28" s="312"/>
      <c r="L28" s="311"/>
      <c r="M28" s="311"/>
      <c r="N28" s="311"/>
      <c r="O28" s="311"/>
      <c r="P28" s="311"/>
      <c r="Q28" s="311"/>
      <c r="R28" s="311"/>
      <c r="S28" s="311"/>
      <c r="T28" s="311"/>
      <c r="U28" s="311"/>
      <c r="V28" s="311"/>
    </row>
  </sheetData>
  <autoFilter ref="A1:V1" xr:uid="{16CE09DE-9251-4DBC-A047-594C7C4F71B1}"/>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C994DE2-757B-4A3A-8D04-ED3048FA20F6}">
          <x14:formula1>
            <xm:f>Source!$C$3:$C$5</xm:f>
          </x14:formula1>
          <xm:sqref>G2:G28</xm:sqref>
        </x14:dataValidation>
        <x14:dataValidation type="list" allowBlank="1" showInputMessage="1" showErrorMessage="1" xr:uid="{5466732A-DDD3-49BB-95A9-3DE0026B4014}">
          <x14:formula1>
            <xm:f>Source!$E$3:$E$4</xm:f>
          </x14:formula1>
          <xm:sqref>H2:H28</xm:sqref>
        </x14:dataValidation>
        <x14:dataValidation type="list" allowBlank="1" showInputMessage="1" showErrorMessage="1" xr:uid="{D29D4D9F-A83C-4784-A265-CFDF91C5B7AA}">
          <x14:formula1>
            <xm:f>Source!$G$3:$G$4</xm:f>
          </x14:formula1>
          <xm:sqref>I2:I28</xm:sqref>
        </x14:dataValidation>
        <x14:dataValidation type="list" allowBlank="1" showInputMessage="1" showErrorMessage="1" xr:uid="{45510FCC-6161-4C58-B61C-32271B206FD5}">
          <x14:formula1>
            <xm:f>Source!$I$3:$I$5</xm:f>
          </x14:formula1>
          <xm:sqref>F2:F28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CAA0-8A4F-4C2D-8B68-A6B00D126C3A}">
  <sheetPr filterMode="1"/>
  <dimension ref="A1:I55"/>
  <sheetViews>
    <sheetView workbookViewId="0">
      <selection activeCell="B2" sqref="B2"/>
    </sheetView>
  </sheetViews>
  <sheetFormatPr defaultRowHeight="12.5"/>
  <cols>
    <col min="1" max="1" width="15.81640625" style="167" customWidth="1"/>
    <col min="2" max="2" width="18.54296875" style="167" customWidth="1"/>
    <col min="3" max="3" width="14.26953125" style="167" customWidth="1"/>
    <col min="4" max="4" width="28.08984375" style="167" customWidth="1"/>
    <col min="5" max="5" width="15.81640625" style="167" customWidth="1"/>
    <col min="6" max="6" width="15.7265625" style="167" customWidth="1"/>
    <col min="7" max="7" width="14.7265625" style="167" customWidth="1"/>
    <col min="8" max="8" width="8.7265625" style="167"/>
    <col min="9" max="9" width="11" style="167" bestFit="1" customWidth="1"/>
    <col min="10" max="16384" width="8.7265625" style="167"/>
  </cols>
  <sheetData>
    <row r="1" spans="1:9" ht="45">
      <c r="A1" s="321" t="s">
        <v>1936</v>
      </c>
      <c r="B1" s="321" t="s">
        <v>1900</v>
      </c>
      <c r="C1" s="321" t="s">
        <v>1952</v>
      </c>
      <c r="D1" s="321" t="s">
        <v>1901</v>
      </c>
      <c r="E1" s="321" t="s">
        <v>1902</v>
      </c>
      <c r="F1" s="321" t="s">
        <v>1903</v>
      </c>
      <c r="G1" s="321" t="s">
        <v>45</v>
      </c>
      <c r="H1" s="311"/>
      <c r="I1" s="311"/>
    </row>
    <row r="2" spans="1:9" ht="25">
      <c r="A2" s="311" t="s">
        <v>1937</v>
      </c>
      <c r="B2" s="394" t="s">
        <v>2326</v>
      </c>
      <c r="C2" s="322" t="s">
        <v>1445</v>
      </c>
      <c r="D2" s="322" t="s">
        <v>1904</v>
      </c>
      <c r="E2" s="323">
        <v>9766321139</v>
      </c>
      <c r="F2" s="326" t="s">
        <v>1938</v>
      </c>
      <c r="G2" s="189" t="s">
        <v>863</v>
      </c>
      <c r="H2" s="311"/>
      <c r="I2" s="311"/>
    </row>
    <row r="3" spans="1:9" ht="31" hidden="1">
      <c r="A3" s="311" t="s">
        <v>1937</v>
      </c>
      <c r="B3" s="322" t="s">
        <v>1905</v>
      </c>
      <c r="C3" s="322" t="s">
        <v>1445</v>
      </c>
      <c r="D3" s="322" t="s">
        <v>1906</v>
      </c>
      <c r="E3" s="323">
        <v>7055115319</v>
      </c>
      <c r="F3" s="326" t="s">
        <v>1939</v>
      </c>
      <c r="G3" s="189" t="s">
        <v>2341</v>
      </c>
      <c r="H3" s="311"/>
      <c r="I3" s="311"/>
    </row>
    <row r="4" spans="1:9" ht="25" hidden="1">
      <c r="A4" s="408" t="s">
        <v>1937</v>
      </c>
      <c r="B4" s="409" t="s">
        <v>1907</v>
      </c>
      <c r="C4" s="409" t="s">
        <v>1445</v>
      </c>
      <c r="D4" s="409" t="s">
        <v>1908</v>
      </c>
      <c r="E4" s="410">
        <v>8518886478</v>
      </c>
      <c r="F4" s="411" t="s">
        <v>1940</v>
      </c>
    </row>
    <row r="5" spans="1:9" ht="31" hidden="1">
      <c r="A5" s="311" t="s">
        <v>1937</v>
      </c>
      <c r="B5" s="322" t="s">
        <v>1909</v>
      </c>
      <c r="C5" s="322" t="s">
        <v>1445</v>
      </c>
      <c r="D5" s="322" t="s">
        <v>1910</v>
      </c>
      <c r="E5" s="323">
        <v>8309317226</v>
      </c>
      <c r="F5" s="326" t="s">
        <v>1941</v>
      </c>
    </row>
    <row r="6" spans="1:9" ht="46.5" hidden="1">
      <c r="A6" s="311" t="s">
        <v>1937</v>
      </c>
      <c r="B6" s="322" t="s">
        <v>1911</v>
      </c>
      <c r="C6" s="322" t="s">
        <v>1445</v>
      </c>
      <c r="D6" s="322" t="s">
        <v>1912</v>
      </c>
      <c r="E6" s="323">
        <v>9591146515</v>
      </c>
      <c r="F6" s="326" t="s">
        <v>776</v>
      </c>
    </row>
    <row r="7" spans="1:9" ht="31" hidden="1">
      <c r="A7" s="416" t="s">
        <v>1937</v>
      </c>
      <c r="B7" s="417" t="s">
        <v>1913</v>
      </c>
      <c r="C7" s="417" t="s">
        <v>1445</v>
      </c>
      <c r="D7" s="417" t="s">
        <v>1914</v>
      </c>
      <c r="E7" s="418">
        <v>9650689487</v>
      </c>
      <c r="F7" s="419" t="s">
        <v>1942</v>
      </c>
    </row>
    <row r="8" spans="1:9" ht="31">
      <c r="A8" s="311" t="s">
        <v>1937</v>
      </c>
      <c r="B8" s="394" t="s">
        <v>970</v>
      </c>
      <c r="C8" s="322" t="s">
        <v>1445</v>
      </c>
      <c r="D8" s="322" t="s">
        <v>1915</v>
      </c>
      <c r="E8" s="323">
        <v>9650689487</v>
      </c>
      <c r="F8" s="326" t="s">
        <v>1942</v>
      </c>
      <c r="G8" s="189"/>
      <c r="H8" s="311" t="s">
        <v>2740</v>
      </c>
      <c r="I8" s="311"/>
    </row>
    <row r="9" spans="1:9" ht="25">
      <c r="A9" s="311" t="s">
        <v>1937</v>
      </c>
      <c r="B9" s="394" t="s">
        <v>1916</v>
      </c>
      <c r="C9" s="322" t="s">
        <v>1445</v>
      </c>
      <c r="D9" s="322" t="s">
        <v>1917</v>
      </c>
      <c r="E9" s="323">
        <v>9458668705</v>
      </c>
      <c r="F9" s="326" t="s">
        <v>1943</v>
      </c>
      <c r="G9" s="189" t="s">
        <v>991</v>
      </c>
      <c r="H9" s="311"/>
      <c r="I9" s="311"/>
    </row>
    <row r="10" spans="1:9" ht="25">
      <c r="A10" s="311" t="s">
        <v>1937</v>
      </c>
      <c r="B10" s="394" t="s">
        <v>1918</v>
      </c>
      <c r="C10" s="322" t="s">
        <v>1445</v>
      </c>
      <c r="D10" s="322" t="s">
        <v>1919</v>
      </c>
      <c r="E10" s="323">
        <v>9679874919</v>
      </c>
      <c r="F10" s="326" t="s">
        <v>1944</v>
      </c>
      <c r="G10" s="311" t="s">
        <v>991</v>
      </c>
      <c r="H10" s="311"/>
      <c r="I10" s="311"/>
    </row>
    <row r="11" spans="1:9" ht="31" hidden="1">
      <c r="A11" s="408" t="s">
        <v>1937</v>
      </c>
      <c r="B11" s="409" t="s">
        <v>1920</v>
      </c>
      <c r="C11" s="409" t="s">
        <v>1445</v>
      </c>
      <c r="D11" s="409" t="s">
        <v>1921</v>
      </c>
      <c r="E11" s="410">
        <v>9780256214</v>
      </c>
      <c r="F11" s="411" t="s">
        <v>1946</v>
      </c>
    </row>
    <row r="12" spans="1:9" ht="25">
      <c r="A12" s="311" t="s">
        <v>1937</v>
      </c>
      <c r="B12" s="394" t="s">
        <v>1922</v>
      </c>
      <c r="C12" s="322" t="s">
        <v>1445</v>
      </c>
      <c r="D12" s="322" t="s">
        <v>1923</v>
      </c>
      <c r="E12" s="323">
        <v>8979890366</v>
      </c>
      <c r="F12" s="326" t="s">
        <v>1945</v>
      </c>
      <c r="G12" t="s">
        <v>991</v>
      </c>
      <c r="H12"/>
    </row>
    <row r="13" spans="1:9" ht="31">
      <c r="A13" s="311" t="s">
        <v>1937</v>
      </c>
      <c r="B13" s="394" t="s">
        <v>1924</v>
      </c>
      <c r="C13" s="322" t="s">
        <v>1445</v>
      </c>
      <c r="D13" s="322" t="s">
        <v>1925</v>
      </c>
      <c r="E13" s="323">
        <v>9967774658</v>
      </c>
      <c r="F13" s="326" t="s">
        <v>1947</v>
      </c>
      <c r="G13" s="167" t="s">
        <v>991</v>
      </c>
    </row>
    <row r="14" spans="1:9" ht="31" hidden="1">
      <c r="A14" s="311" t="s">
        <v>1937</v>
      </c>
      <c r="B14" s="322" t="s">
        <v>1926</v>
      </c>
      <c r="C14" s="322" t="s">
        <v>1445</v>
      </c>
      <c r="D14" s="322" t="s">
        <v>1927</v>
      </c>
      <c r="E14" s="323">
        <v>9003170382</v>
      </c>
      <c r="F14" s="326" t="s">
        <v>1948</v>
      </c>
    </row>
    <row r="15" spans="1:9" ht="46.5">
      <c r="A15" s="311" t="s">
        <v>1937</v>
      </c>
      <c r="B15" s="393" t="s">
        <v>1928</v>
      </c>
      <c r="C15" s="322" t="s">
        <v>1445</v>
      </c>
      <c r="D15" s="324" t="s">
        <v>1929</v>
      </c>
      <c r="E15" s="325">
        <v>9739049663</v>
      </c>
      <c r="F15" s="326" t="s">
        <v>1949</v>
      </c>
      <c r="G15" s="167" t="s">
        <v>991</v>
      </c>
    </row>
    <row r="16" spans="1:9" ht="31" hidden="1">
      <c r="A16" s="416" t="s">
        <v>1937</v>
      </c>
      <c r="B16" s="420" t="s">
        <v>1930</v>
      </c>
      <c r="C16" s="417" t="s">
        <v>1445</v>
      </c>
      <c r="D16" s="420" t="s">
        <v>1915</v>
      </c>
      <c r="E16" s="421">
        <v>9445939404</v>
      </c>
      <c r="F16" s="422" t="s">
        <v>1931</v>
      </c>
    </row>
    <row r="17" spans="1:9" ht="25">
      <c r="A17" s="311" t="s">
        <v>1937</v>
      </c>
      <c r="B17" s="393" t="s">
        <v>1932</v>
      </c>
      <c r="C17" s="322" t="s">
        <v>1445</v>
      </c>
      <c r="D17" s="324" t="s">
        <v>1933</v>
      </c>
      <c r="E17" s="325">
        <v>9674492476</v>
      </c>
      <c r="F17" s="326" t="s">
        <v>1950</v>
      </c>
      <c r="G17" s="189" t="s">
        <v>863</v>
      </c>
      <c r="H17" s="311"/>
      <c r="I17" s="311"/>
    </row>
    <row r="18" spans="1:9" ht="62">
      <c r="A18" s="311" t="s">
        <v>1937</v>
      </c>
      <c r="B18" s="393" t="s">
        <v>1934</v>
      </c>
      <c r="C18" s="322" t="s">
        <v>1445</v>
      </c>
      <c r="D18" s="324" t="s">
        <v>1935</v>
      </c>
      <c r="E18" s="325">
        <v>7760569238</v>
      </c>
      <c r="F18" s="326" t="s">
        <v>1951</v>
      </c>
      <c r="G18" s="311" t="s">
        <v>991</v>
      </c>
      <c r="H18" s="311"/>
      <c r="I18" s="311"/>
    </row>
    <row r="19" spans="1:9" ht="70">
      <c r="A19" s="408" t="s">
        <v>1953</v>
      </c>
      <c r="B19" s="650" t="s">
        <v>1954</v>
      </c>
      <c r="C19" s="413" t="s">
        <v>1977</v>
      </c>
      <c r="D19" s="413" t="s">
        <v>2000</v>
      </c>
      <c r="E19" s="408"/>
      <c r="F19" s="414" t="s">
        <v>2023</v>
      </c>
      <c r="G19" t="s">
        <v>991</v>
      </c>
    </row>
    <row r="20" spans="1:9" ht="42">
      <c r="A20" s="416" t="s">
        <v>1953</v>
      </c>
      <c r="B20" s="451" t="s">
        <v>1955</v>
      </c>
      <c r="C20" s="452" t="s">
        <v>1978</v>
      </c>
      <c r="D20" s="424" t="s">
        <v>2001</v>
      </c>
      <c r="E20" s="416"/>
      <c r="F20" s="423" t="s">
        <v>2024</v>
      </c>
      <c r="G20" s="167" t="s">
        <v>991</v>
      </c>
      <c r="H20" s="167" t="s">
        <v>2340</v>
      </c>
      <c r="I20" t="s">
        <v>2595</v>
      </c>
    </row>
    <row r="21" spans="1:9" ht="42">
      <c r="A21" s="311" t="s">
        <v>1953</v>
      </c>
      <c r="B21" s="327" t="s">
        <v>1956</v>
      </c>
      <c r="C21" s="400" t="s">
        <v>1979</v>
      </c>
      <c r="D21" s="328" t="s">
        <v>2002</v>
      </c>
      <c r="E21" s="311"/>
      <c r="F21" s="327" t="s">
        <v>2025</v>
      </c>
      <c r="G21" s="311" t="s">
        <v>991</v>
      </c>
      <c r="H21" s="311"/>
      <c r="I21" s="311"/>
    </row>
    <row r="22" spans="1:9" ht="56">
      <c r="A22" s="311" t="s">
        <v>1953</v>
      </c>
      <c r="B22" s="327" t="s">
        <v>1957</v>
      </c>
      <c r="C22" s="328" t="s">
        <v>1980</v>
      </c>
      <c r="D22" s="328" t="s">
        <v>2003</v>
      </c>
      <c r="E22" s="311"/>
      <c r="F22" s="329" t="s">
        <v>2026</v>
      </c>
      <c r="G22" s="189" t="s">
        <v>991</v>
      </c>
      <c r="H22" s="189" t="s">
        <v>2208</v>
      </c>
      <c r="I22" s="189" t="s">
        <v>2207</v>
      </c>
    </row>
    <row r="23" spans="1:9" ht="42">
      <c r="A23" s="408" t="s">
        <v>1953</v>
      </c>
      <c r="B23" s="412" t="s">
        <v>1958</v>
      </c>
      <c r="C23" s="413" t="s">
        <v>1981</v>
      </c>
      <c r="D23" s="413" t="s">
        <v>2004</v>
      </c>
      <c r="E23" s="408"/>
      <c r="F23" s="415" t="s">
        <v>2027</v>
      </c>
      <c r="G23" s="167" t="s">
        <v>991</v>
      </c>
      <c r="H23" s="167" t="s">
        <v>2340</v>
      </c>
    </row>
    <row r="24" spans="1:9" ht="28">
      <c r="A24" s="311" t="s">
        <v>1953</v>
      </c>
      <c r="B24" s="392" t="s">
        <v>1959</v>
      </c>
      <c r="C24" s="328" t="s">
        <v>1982</v>
      </c>
      <c r="D24" s="328" t="s">
        <v>2005</v>
      </c>
      <c r="E24" s="311"/>
      <c r="F24" s="329" t="s">
        <v>2028</v>
      </c>
      <c r="G24" t="s">
        <v>991</v>
      </c>
    </row>
    <row r="25" spans="1:9" ht="28" hidden="1">
      <c r="A25" s="416" t="s">
        <v>1953</v>
      </c>
      <c r="B25" s="423" t="s">
        <v>1960</v>
      </c>
      <c r="C25" s="424" t="s">
        <v>1983</v>
      </c>
      <c r="D25" s="424" t="s">
        <v>2006</v>
      </c>
      <c r="E25" s="416"/>
      <c r="F25" s="425" t="s">
        <v>2029</v>
      </c>
    </row>
    <row r="26" spans="1:9" ht="56">
      <c r="A26" s="311" t="s">
        <v>1953</v>
      </c>
      <c r="B26" s="392" t="s">
        <v>1961</v>
      </c>
      <c r="C26" s="328" t="s">
        <v>1984</v>
      </c>
      <c r="D26" s="328" t="s">
        <v>2007</v>
      </c>
      <c r="E26" s="311"/>
      <c r="F26" s="329" t="s">
        <v>2030</v>
      </c>
      <c r="G26" s="189" t="s">
        <v>991</v>
      </c>
      <c r="H26" s="311"/>
      <c r="I26" s="311"/>
    </row>
    <row r="27" spans="1:9" ht="56">
      <c r="A27" s="311" t="s">
        <v>1953</v>
      </c>
      <c r="B27" s="392" t="s">
        <v>1962</v>
      </c>
      <c r="C27" s="328" t="s">
        <v>1985</v>
      </c>
      <c r="D27" s="328" t="s">
        <v>2008</v>
      </c>
      <c r="E27" s="311"/>
      <c r="F27" s="329" t="s">
        <v>2031</v>
      </c>
      <c r="G27" s="311" t="s">
        <v>991</v>
      </c>
      <c r="H27" s="311"/>
      <c r="I27" s="311"/>
    </row>
    <row r="28" spans="1:9" ht="56" hidden="1">
      <c r="A28" s="426" t="s">
        <v>1953</v>
      </c>
      <c r="B28" s="427" t="s">
        <v>1963</v>
      </c>
      <c r="C28" s="428" t="s">
        <v>1986</v>
      </c>
      <c r="D28" s="428" t="s">
        <v>2009</v>
      </c>
      <c r="E28" s="426"/>
      <c r="F28" s="429" t="s">
        <v>2032</v>
      </c>
    </row>
    <row r="29" spans="1:9" ht="70">
      <c r="A29" s="311" t="s">
        <v>1953</v>
      </c>
      <c r="B29" s="392" t="s">
        <v>1964</v>
      </c>
      <c r="C29" s="407" t="s">
        <v>1987</v>
      </c>
      <c r="D29" s="328" t="s">
        <v>2010</v>
      </c>
      <c r="E29" s="311"/>
      <c r="F29" s="329" t="s">
        <v>2033</v>
      </c>
      <c r="G29" s="189" t="s">
        <v>991</v>
      </c>
      <c r="H29" s="311"/>
      <c r="I29" s="311"/>
    </row>
    <row r="30" spans="1:9" ht="42">
      <c r="A30" s="426" t="s">
        <v>1953</v>
      </c>
      <c r="B30" s="440" t="s">
        <v>1965</v>
      </c>
      <c r="C30" s="428" t="s">
        <v>1988</v>
      </c>
      <c r="D30" s="428" t="s">
        <v>2011</v>
      </c>
      <c r="E30" s="426"/>
      <c r="F30" s="429" t="s">
        <v>2034</v>
      </c>
      <c r="G30" s="167" t="s">
        <v>991</v>
      </c>
    </row>
    <row r="31" spans="1:9" ht="42">
      <c r="A31" s="311" t="s">
        <v>1953</v>
      </c>
      <c r="B31" s="392" t="s">
        <v>1966</v>
      </c>
      <c r="C31" s="328" t="s">
        <v>1989</v>
      </c>
      <c r="D31" s="328" t="s">
        <v>2012</v>
      </c>
      <c r="E31" s="311"/>
      <c r="F31" s="329" t="s">
        <v>2035</v>
      </c>
      <c r="G31" s="311" t="s">
        <v>863</v>
      </c>
      <c r="H31" s="311"/>
      <c r="I31" s="311"/>
    </row>
    <row r="32" spans="1:9" ht="42">
      <c r="A32" s="408" t="s">
        <v>1953</v>
      </c>
      <c r="B32" s="650" t="s">
        <v>1967</v>
      </c>
      <c r="C32" s="413" t="s">
        <v>1990</v>
      </c>
      <c r="D32" s="413" t="s">
        <v>2013</v>
      </c>
      <c r="E32" s="408"/>
      <c r="F32" s="415" t="s">
        <v>2036</v>
      </c>
      <c r="G32" s="167" t="s">
        <v>991</v>
      </c>
    </row>
    <row r="33" spans="1:9" ht="56" hidden="1">
      <c r="A33" s="416" t="s">
        <v>1953</v>
      </c>
      <c r="B33" s="423" t="s">
        <v>1968</v>
      </c>
      <c r="C33" s="424" t="s">
        <v>1991</v>
      </c>
      <c r="D33" s="424" t="s">
        <v>2014</v>
      </c>
      <c r="E33" s="416"/>
      <c r="F33" s="425" t="s">
        <v>2037</v>
      </c>
    </row>
    <row r="34" spans="1:9" ht="28">
      <c r="A34" s="311" t="s">
        <v>1953</v>
      </c>
      <c r="B34" s="327" t="s">
        <v>1969</v>
      </c>
      <c r="C34" s="328" t="s">
        <v>1992</v>
      </c>
      <c r="D34" s="328" t="s">
        <v>2015</v>
      </c>
      <c r="E34" s="311"/>
      <c r="F34" s="329" t="s">
        <v>2038</v>
      </c>
      <c r="G34" s="189" t="s">
        <v>991</v>
      </c>
      <c r="H34" s="189"/>
      <c r="I34" s="311"/>
    </row>
    <row r="35" spans="1:9" ht="42">
      <c r="A35" s="408" t="s">
        <v>1953</v>
      </c>
      <c r="B35" s="412" t="s">
        <v>1970</v>
      </c>
      <c r="C35" s="413" t="s">
        <v>1993</v>
      </c>
      <c r="D35" s="413" t="s">
        <v>2016</v>
      </c>
      <c r="E35" s="527" t="s">
        <v>2594</v>
      </c>
      <c r="F35" s="415" t="s">
        <v>2039</v>
      </c>
      <c r="G35" s="189" t="s">
        <v>991</v>
      </c>
    </row>
    <row r="36" spans="1:9" ht="42">
      <c r="A36" s="311" t="s">
        <v>1953</v>
      </c>
      <c r="B36" s="392" t="s">
        <v>1971</v>
      </c>
      <c r="C36" s="328" t="s">
        <v>1994</v>
      </c>
      <c r="D36" s="328" t="s">
        <v>2017</v>
      </c>
      <c r="E36" s="311"/>
      <c r="F36" s="329" t="s">
        <v>2040</v>
      </c>
      <c r="G36" s="167" t="s">
        <v>991</v>
      </c>
    </row>
    <row r="37" spans="1:9" ht="56">
      <c r="A37" s="416" t="s">
        <v>1953</v>
      </c>
      <c r="B37" s="651" t="s">
        <v>1972</v>
      </c>
      <c r="C37" s="424" t="s">
        <v>1995</v>
      </c>
      <c r="D37" s="424" t="s">
        <v>2018</v>
      </c>
      <c r="E37" s="416"/>
      <c r="F37" s="425" t="s">
        <v>2041</v>
      </c>
      <c r="G37" t="s">
        <v>991</v>
      </c>
    </row>
    <row r="38" spans="1:9" ht="42">
      <c r="A38" s="311" t="s">
        <v>1953</v>
      </c>
      <c r="B38" s="327" t="s">
        <v>1973</v>
      </c>
      <c r="C38" s="328" t="s">
        <v>1996</v>
      </c>
      <c r="D38" s="328" t="s">
        <v>2019</v>
      </c>
      <c r="E38" s="311"/>
      <c r="F38" s="329" t="s">
        <v>2042</v>
      </c>
      <c r="G38" s="189" t="s">
        <v>863</v>
      </c>
      <c r="H38" s="311"/>
      <c r="I38" s="311"/>
    </row>
    <row r="39" spans="1:9" ht="56">
      <c r="A39" s="408" t="s">
        <v>1953</v>
      </c>
      <c r="B39" s="412" t="s">
        <v>1974</v>
      </c>
      <c r="C39" s="462" t="s">
        <v>1997</v>
      </c>
      <c r="D39" s="413" t="s">
        <v>2020</v>
      </c>
      <c r="E39" s="408"/>
      <c r="F39" s="415" t="s">
        <v>2043</v>
      </c>
      <c r="G39" s="463" t="s">
        <v>991</v>
      </c>
    </row>
    <row r="40" spans="1:9" ht="28">
      <c r="A40" s="416" t="s">
        <v>1953</v>
      </c>
      <c r="B40" s="651" t="s">
        <v>1975</v>
      </c>
      <c r="C40" s="424" t="s">
        <v>1998</v>
      </c>
      <c r="D40" s="424" t="s">
        <v>2021</v>
      </c>
      <c r="E40" s="416"/>
      <c r="F40" s="425" t="s">
        <v>2044</v>
      </c>
      <c r="G40" t="s">
        <v>991</v>
      </c>
    </row>
    <row r="41" spans="1:9" ht="62.5">
      <c r="A41" s="311" t="s">
        <v>1953</v>
      </c>
      <c r="B41" s="453" t="s">
        <v>1976</v>
      </c>
      <c r="C41" s="391" t="s">
        <v>1999</v>
      </c>
      <c r="D41" s="328" t="s">
        <v>2022</v>
      </c>
      <c r="E41" s="311"/>
      <c r="F41" s="329" t="s">
        <v>2045</v>
      </c>
      <c r="G41" s="311" t="s">
        <v>991</v>
      </c>
      <c r="H41" s="311" t="s">
        <v>2323</v>
      </c>
      <c r="I41" s="311" t="s">
        <v>2324</v>
      </c>
    </row>
    <row r="42" spans="1:9">
      <c r="A42" s="311"/>
      <c r="B42" s="311"/>
      <c r="C42" s="311"/>
      <c r="D42" s="311"/>
      <c r="E42" s="311"/>
      <c r="F42" s="311"/>
      <c r="G42" s="311"/>
      <c r="H42" s="311"/>
      <c r="I42" s="311"/>
    </row>
    <row r="43" spans="1:9" ht="35">
      <c r="A43" s="430" t="s">
        <v>2219</v>
      </c>
      <c r="B43" s="431" t="s">
        <v>2220</v>
      </c>
      <c r="C43" s="432" t="s">
        <v>2221</v>
      </c>
      <c r="D43" s="432" t="s">
        <v>1207</v>
      </c>
      <c r="E43" s="433" t="s">
        <v>2222</v>
      </c>
      <c r="F43" s="311"/>
      <c r="G43" s="311"/>
      <c r="H43" s="311"/>
      <c r="I43" s="311"/>
    </row>
    <row r="44" spans="1:9" ht="37.5">
      <c r="A44" s="434">
        <v>1</v>
      </c>
      <c r="B44" s="435" t="s">
        <v>2223</v>
      </c>
      <c r="C44" s="438" t="s">
        <v>2224</v>
      </c>
      <c r="D44" s="661" t="s">
        <v>2225</v>
      </c>
      <c r="E44" s="437">
        <v>9845355599</v>
      </c>
      <c r="F44" s="527" t="s">
        <v>2593</v>
      </c>
      <c r="G44" t="s">
        <v>991</v>
      </c>
      <c r="H44" s="311"/>
      <c r="I44" s="311"/>
    </row>
    <row r="45" spans="1:9" ht="54">
      <c r="A45" s="434">
        <v>2</v>
      </c>
      <c r="B45" s="435" t="s">
        <v>2226</v>
      </c>
      <c r="C45" s="438" t="s">
        <v>2227</v>
      </c>
      <c r="D45" s="436" t="s">
        <v>2228</v>
      </c>
      <c r="E45" s="437">
        <v>9008892602</v>
      </c>
      <c r="F45" s="311"/>
      <c r="G45" s="311" t="s">
        <v>991</v>
      </c>
      <c r="H45" s="311"/>
      <c r="I45" s="311"/>
    </row>
    <row r="46" spans="1:9" ht="90">
      <c r="A46" s="434">
        <v>3</v>
      </c>
      <c r="B46" s="435" t="s">
        <v>2229</v>
      </c>
      <c r="C46" s="436" t="s">
        <v>2230</v>
      </c>
      <c r="D46" s="436" t="s">
        <v>2231</v>
      </c>
      <c r="E46" s="437">
        <v>7584091766</v>
      </c>
      <c r="F46" s="311"/>
      <c r="G46" s="311"/>
      <c r="H46" t="s">
        <v>2582</v>
      </c>
      <c r="I46" s="311"/>
    </row>
    <row r="47" spans="1:9" ht="36">
      <c r="A47" s="434">
        <v>4</v>
      </c>
      <c r="B47" s="435" t="s">
        <v>2232</v>
      </c>
      <c r="C47" s="436" t="s">
        <v>2233</v>
      </c>
      <c r="D47" s="436" t="s">
        <v>2234</v>
      </c>
      <c r="E47" s="437">
        <v>9205771590</v>
      </c>
      <c r="F47" s="311"/>
      <c r="G47"/>
      <c r="H47" s="311"/>
      <c r="I47" s="311"/>
    </row>
    <row r="48" spans="1:9">
      <c r="A48" s="311"/>
      <c r="B48" s="189" t="s">
        <v>2235</v>
      </c>
      <c r="C48" s="311"/>
      <c r="D48" s="311"/>
      <c r="E48" s="311"/>
      <c r="F48" s="311"/>
      <c r="G48" s="311" t="s">
        <v>863</v>
      </c>
      <c r="H48" s="311"/>
      <c r="I48" s="311"/>
    </row>
    <row r="49" spans="1:9">
      <c r="A49" s="311"/>
      <c r="B49" s="189" t="s">
        <v>2236</v>
      </c>
      <c r="C49" s="311"/>
      <c r="D49" s="311"/>
      <c r="E49" s="311"/>
      <c r="F49" s="311"/>
      <c r="G49" s="311" t="s">
        <v>863</v>
      </c>
      <c r="H49" s="311"/>
      <c r="I49" s="311"/>
    </row>
    <row r="50" spans="1:9">
      <c r="A50" s="311"/>
      <c r="B50" s="189" t="s">
        <v>2237</v>
      </c>
      <c r="C50" s="311"/>
      <c r="D50" s="311"/>
      <c r="E50" s="311"/>
      <c r="F50" s="311"/>
      <c r="G50" s="311" t="s">
        <v>863</v>
      </c>
      <c r="H50" s="311"/>
      <c r="I50" s="311"/>
    </row>
    <row r="51" spans="1:9">
      <c r="A51" s="311"/>
      <c r="B51" s="189" t="s">
        <v>2238</v>
      </c>
      <c r="C51" s="311"/>
      <c r="D51" s="311"/>
      <c r="E51" s="311"/>
      <c r="F51" s="311"/>
      <c r="G51" s="311"/>
      <c r="H51" s="311"/>
      <c r="I51" s="311"/>
    </row>
    <row r="52" spans="1:9">
      <c r="A52" s="311"/>
      <c r="B52" s="189" t="s">
        <v>2239</v>
      </c>
      <c r="C52" s="311"/>
      <c r="D52" s="311"/>
      <c r="E52" s="311"/>
      <c r="F52" s="311"/>
      <c r="G52" s="311" t="s">
        <v>863</v>
      </c>
      <c r="H52" s="311"/>
      <c r="I52" s="311"/>
    </row>
    <row r="53" spans="1:9">
      <c r="A53" s="311"/>
      <c r="B53" s="189" t="s">
        <v>2240</v>
      </c>
      <c r="C53" s="311"/>
      <c r="D53" s="311"/>
      <c r="E53" s="311"/>
      <c r="F53" s="311"/>
      <c r="G53" s="311" t="s">
        <v>863</v>
      </c>
      <c r="H53" s="311"/>
      <c r="I53" s="311"/>
    </row>
    <row r="54" spans="1:9">
      <c r="A54" s="311"/>
      <c r="B54" s="439" t="s">
        <v>2292</v>
      </c>
      <c r="C54" s="439" t="s">
        <v>2325</v>
      </c>
      <c r="D54" s="439" t="s">
        <v>2291</v>
      </c>
      <c r="E54" s="311"/>
      <c r="F54" s="311" t="s">
        <v>498</v>
      </c>
      <c r="G54" s="311" t="s">
        <v>863</v>
      </c>
      <c r="H54" s="311"/>
      <c r="I54" s="311"/>
    </row>
    <row r="55" spans="1:9" ht="37.5">
      <c r="B55" t="s">
        <v>2503</v>
      </c>
      <c r="C55" s="167" t="s">
        <v>2502</v>
      </c>
      <c r="F55" s="167" t="s">
        <v>2616</v>
      </c>
      <c r="G55" s="311"/>
      <c r="H55" s="167" t="s">
        <v>2615</v>
      </c>
    </row>
  </sheetData>
  <autoFilter ref="A1:I41" xr:uid="{F789CAA0-8A4F-4C2D-8B68-A6B00D126C3A}">
    <filterColumn colId="6">
      <filters>
        <filter val="Yes"/>
      </filters>
    </filterColumn>
  </autoFilter>
  <hyperlinks>
    <hyperlink ref="F16" r:id="rId1" xr:uid="{C55855FA-9ECA-4D78-B5E4-4122CC189A7F}"/>
    <hyperlink ref="F4" r:id="rId2" xr:uid="{FAA656F7-D40F-44C3-AC32-6C4E02689782}"/>
    <hyperlink ref="F5" r:id="rId3" xr:uid="{68DD651E-602F-40A1-AA4D-B5391C5C0FB2}"/>
    <hyperlink ref="F6" r:id="rId4" xr:uid="{895FA1FF-3307-4B4C-A429-E90C12CEF5B5}"/>
    <hyperlink ref="F7" r:id="rId5" xr:uid="{847C8DA7-AD94-4D9D-A8DB-F1CE709ED548}"/>
    <hyperlink ref="F12" r:id="rId6" xr:uid="{9949984C-0C96-424D-BCC6-639BE30B9503}"/>
    <hyperlink ref="F11" r:id="rId7" xr:uid="{8E7DFD82-BD62-450C-BB8A-E618C0CF252C}"/>
    <hyperlink ref="F13" r:id="rId8" xr:uid="{0B505DD2-DA28-45B3-A960-B514569FAB9A}"/>
    <hyperlink ref="F14" r:id="rId9" xr:uid="{F7D32EC7-6118-4B1B-88C4-34B0E0F14C76}"/>
    <hyperlink ref="F15" r:id="rId10" xr:uid="{C5F7E595-20D5-428C-B119-D4719A04D544}"/>
    <hyperlink ref="F18" r:id="rId11" xr:uid="{1542F850-DC29-4A58-9706-7CB31A1F10AE}"/>
    <hyperlink ref="F17" r:id="rId12" xr:uid="{7D76602A-7D68-4633-8E72-6584F379E8A6}"/>
    <hyperlink ref="F10" r:id="rId13" xr:uid="{B0FD5DB8-FC76-4B79-B0E1-5077F642BCFE}"/>
    <hyperlink ref="F9" r:id="rId14" xr:uid="{D49487AD-8C39-4E0D-BD46-5A8C1674F504}"/>
    <hyperlink ref="F8" r:id="rId15" xr:uid="{B7363052-145A-41F9-9AAA-833649756CE6}"/>
    <hyperlink ref="E8" r:id="rId16" display="naqueebwarsi@isical.ac.in" xr:uid="{DEA65A52-DF9A-43D5-A002-3DB67EBE1B5D}"/>
    <hyperlink ref="F3" r:id="rId17" xr:uid="{A2DAC78C-BDA3-415C-A10A-2166A4FC0400}"/>
    <hyperlink ref="F2" r:id="rId18" xr:uid="{68744DA4-B5DA-471D-B740-44B4C71F32E6}"/>
    <hyperlink ref="D44" r:id="rId19" xr:uid="{609125E7-BB61-475E-AB21-B31FDD0C8747}"/>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BC35-D431-48EA-AD8B-552F3070DCCC}">
  <sheetPr filterMode="1"/>
  <dimension ref="A2:Q58"/>
  <sheetViews>
    <sheetView topLeftCell="B4" zoomScale="114" zoomScaleNormal="115" workbookViewId="0">
      <selection activeCell="F15" sqref="F15"/>
    </sheetView>
  </sheetViews>
  <sheetFormatPr defaultRowHeight="12.5"/>
  <cols>
    <col min="4" max="4" width="26.81640625" customWidth="1"/>
    <col min="5" max="5" width="17.26953125" customWidth="1"/>
    <col min="6" max="6" width="19.453125" customWidth="1"/>
    <col min="7" max="7" width="11.81640625" customWidth="1"/>
    <col min="8" max="8" width="16.7265625" bestFit="1" customWidth="1"/>
    <col min="9" max="9" width="12.26953125" customWidth="1"/>
    <col min="10" max="10" width="11.54296875" customWidth="1"/>
    <col min="11" max="11" width="16.26953125" customWidth="1"/>
    <col min="14" max="14" width="11" customWidth="1"/>
    <col min="16" max="16" width="11.81640625" customWidth="1"/>
    <col min="17" max="17" width="13.7265625" customWidth="1"/>
  </cols>
  <sheetData>
    <row r="2" spans="1:17" ht="26">
      <c r="A2" s="320"/>
      <c r="B2" s="320"/>
      <c r="C2" s="320"/>
      <c r="D2" s="166" t="s">
        <v>1312</v>
      </c>
      <c r="E2" s="166" t="s">
        <v>119</v>
      </c>
      <c r="F2" s="166" t="s">
        <v>1313</v>
      </c>
      <c r="G2" s="166" t="s">
        <v>1314</v>
      </c>
      <c r="H2" s="166" t="s">
        <v>1315</v>
      </c>
      <c r="I2" s="166" t="s">
        <v>1316</v>
      </c>
      <c r="J2" s="166" t="s">
        <v>1317</v>
      </c>
      <c r="K2" s="166" t="s">
        <v>1318</v>
      </c>
      <c r="L2" s="220" t="s">
        <v>1758</v>
      </c>
      <c r="N2" s="163" t="s">
        <v>1319</v>
      </c>
      <c r="O2" s="163" t="s">
        <v>1320</v>
      </c>
      <c r="P2" s="163" t="s">
        <v>1321</v>
      </c>
      <c r="Q2" s="163" t="s">
        <v>1322</v>
      </c>
    </row>
    <row r="3" spans="1:17">
      <c r="A3" s="320"/>
      <c r="B3" s="320"/>
      <c r="C3" s="320"/>
      <c r="D3" s="320" t="s">
        <v>1328</v>
      </c>
      <c r="E3" s="320" t="s">
        <v>2606</v>
      </c>
      <c r="F3" s="320" t="s">
        <v>2608</v>
      </c>
      <c r="G3" s="320" t="s">
        <v>1330</v>
      </c>
      <c r="H3" s="320" t="s">
        <v>1327</v>
      </c>
      <c r="I3" s="375">
        <f t="shared" ref="I3:I10" si="0">K3-J3</f>
        <v>2</v>
      </c>
      <c r="J3" s="376">
        <v>46121</v>
      </c>
      <c r="K3" s="376">
        <v>46123</v>
      </c>
      <c r="L3" s="320" t="s">
        <v>241</v>
      </c>
      <c r="N3" s="59" t="s">
        <v>1327</v>
      </c>
      <c r="O3" s="59" t="s">
        <v>1330</v>
      </c>
      <c r="P3">
        <v>15</v>
      </c>
      <c r="Q3">
        <f>P3-(COUNTIFS(H1:H79, "Padmavihar",G1:G79, "Suite"))</f>
        <v>3</v>
      </c>
    </row>
    <row r="4" spans="1:17" ht="12.65">
      <c r="A4" s="320"/>
      <c r="B4" s="320"/>
      <c r="C4" s="320"/>
      <c r="D4" s="320" t="s">
        <v>1331</v>
      </c>
      <c r="E4" t="s">
        <v>2604</v>
      </c>
      <c r="F4" s="320" t="s">
        <v>1332</v>
      </c>
      <c r="G4" s="320" t="s">
        <v>1330</v>
      </c>
      <c r="H4" s="320" t="s">
        <v>1327</v>
      </c>
      <c r="I4" s="375">
        <f t="shared" si="0"/>
        <v>2</v>
      </c>
      <c r="J4" s="376">
        <v>46121</v>
      </c>
      <c r="K4" s="376">
        <v>46123</v>
      </c>
      <c r="L4" s="320" t="s">
        <v>241</v>
      </c>
      <c r="N4" s="59" t="s">
        <v>1333</v>
      </c>
      <c r="O4" s="59" t="s">
        <v>1326</v>
      </c>
      <c r="P4">
        <v>22</v>
      </c>
      <c r="Q4">
        <f>P4-(COUNTIFS(H2:H80, "Vanvihar",G2:G80, "Standard"))</f>
        <v>1</v>
      </c>
    </row>
    <row r="5" spans="1:17" ht="12.65">
      <c r="A5" s="320"/>
      <c r="B5" s="320"/>
      <c r="C5" s="320"/>
      <c r="D5" s="320" t="s">
        <v>1334</v>
      </c>
      <c r="E5" s="320" t="s">
        <v>2604</v>
      </c>
      <c r="F5" s="320" t="s">
        <v>1335</v>
      </c>
      <c r="G5" s="320" t="s">
        <v>1330</v>
      </c>
      <c r="H5" s="320" t="s">
        <v>1327</v>
      </c>
      <c r="I5" s="375">
        <f t="shared" si="0"/>
        <v>2</v>
      </c>
      <c r="J5" s="376">
        <v>46121</v>
      </c>
      <c r="K5" s="376">
        <v>46123</v>
      </c>
      <c r="L5" s="320" t="s">
        <v>241</v>
      </c>
      <c r="N5" s="59" t="s">
        <v>1327</v>
      </c>
      <c r="O5" s="59" t="s">
        <v>1326</v>
      </c>
      <c r="P5">
        <v>30</v>
      </c>
      <c r="Q5">
        <f>P5-(COUNTIFS(H7:H85, "Padmavihar",G7:G85, "Standard"))</f>
        <v>10</v>
      </c>
    </row>
    <row r="6" spans="1:17">
      <c r="A6" s="320"/>
      <c r="B6" s="320"/>
      <c r="C6" s="320"/>
      <c r="D6" s="320" t="s">
        <v>1344</v>
      </c>
      <c r="E6" s="320" t="s">
        <v>2606</v>
      </c>
      <c r="F6" s="320"/>
      <c r="G6" s="320" t="s">
        <v>1330</v>
      </c>
      <c r="H6" s="320" t="s">
        <v>1327</v>
      </c>
      <c r="I6" s="375">
        <f t="shared" si="0"/>
        <v>1</v>
      </c>
      <c r="J6" s="376">
        <v>46122</v>
      </c>
      <c r="K6" s="376">
        <v>46123</v>
      </c>
      <c r="L6" s="320" t="s">
        <v>241</v>
      </c>
    </row>
    <row r="7" spans="1:17" ht="12.65">
      <c r="A7" s="320"/>
      <c r="B7" s="320"/>
      <c r="C7" s="320"/>
      <c r="D7" s="320" t="s">
        <v>1345</v>
      </c>
      <c r="E7" s="320" t="s">
        <v>2604</v>
      </c>
      <c r="F7" s="320"/>
      <c r="G7" s="320" t="s">
        <v>1330</v>
      </c>
      <c r="H7" s="320" t="s">
        <v>1327</v>
      </c>
      <c r="I7" s="375">
        <f t="shared" si="0"/>
        <v>0</v>
      </c>
      <c r="J7" s="320"/>
      <c r="K7" s="320"/>
      <c r="L7" s="320" t="s">
        <v>241</v>
      </c>
    </row>
    <row r="8" spans="1:17">
      <c r="A8" s="320"/>
      <c r="B8" s="320"/>
      <c r="C8" s="320"/>
      <c r="D8" s="320" t="s">
        <v>1352</v>
      </c>
      <c r="E8" s="320" t="s">
        <v>2606</v>
      </c>
      <c r="F8" s="320"/>
      <c r="G8" s="320" t="s">
        <v>1330</v>
      </c>
      <c r="H8" s="375" t="s">
        <v>1327</v>
      </c>
      <c r="I8" s="375">
        <f t="shared" si="0"/>
        <v>2</v>
      </c>
      <c r="J8" s="376">
        <v>46121</v>
      </c>
      <c r="K8" s="376">
        <v>46123</v>
      </c>
      <c r="L8" s="320" t="s">
        <v>241</v>
      </c>
    </row>
    <row r="9" spans="1:17">
      <c r="A9" s="320"/>
      <c r="B9" s="320"/>
      <c r="C9" s="320"/>
      <c r="D9" s="375" t="s">
        <v>1340</v>
      </c>
      <c r="E9" s="375" t="s">
        <v>2607</v>
      </c>
      <c r="F9" s="375" t="s">
        <v>1341</v>
      </c>
      <c r="G9" s="375" t="s">
        <v>1330</v>
      </c>
      <c r="H9" s="375" t="s">
        <v>1327</v>
      </c>
      <c r="I9" s="375">
        <f t="shared" si="0"/>
        <v>4</v>
      </c>
      <c r="J9" s="464">
        <v>46120</v>
      </c>
      <c r="K9" s="464">
        <v>46124</v>
      </c>
      <c r="L9" s="320" t="s">
        <v>241</v>
      </c>
    </row>
    <row r="10" spans="1:17">
      <c r="A10" s="320"/>
      <c r="B10" s="320"/>
      <c r="C10" s="320"/>
      <c r="D10" s="375" t="s">
        <v>1323</v>
      </c>
      <c r="E10" s="375" t="s">
        <v>1324</v>
      </c>
      <c r="F10" s="375" t="s">
        <v>1325</v>
      </c>
      <c r="G10" s="375" t="s">
        <v>1326</v>
      </c>
      <c r="H10" s="375" t="s">
        <v>1327</v>
      </c>
      <c r="I10" s="375">
        <f t="shared" si="0"/>
        <v>0</v>
      </c>
      <c r="J10" s="450"/>
      <c r="K10" s="450"/>
      <c r="L10" s="320" t="s">
        <v>241</v>
      </c>
    </row>
    <row r="11" spans="1:17">
      <c r="A11" s="320"/>
      <c r="B11" s="320"/>
      <c r="C11" s="320"/>
      <c r="D11" s="379" t="s">
        <v>2596</v>
      </c>
      <c r="E11" s="379" t="s">
        <v>2605</v>
      </c>
      <c r="F11" s="375" t="s">
        <v>2609</v>
      </c>
      <c r="G11" s="380" t="s">
        <v>1326</v>
      </c>
      <c r="H11" s="375" t="s">
        <v>1327</v>
      </c>
      <c r="I11" s="375">
        <f>K11-J11</f>
        <v>1</v>
      </c>
      <c r="J11" s="450">
        <v>46122</v>
      </c>
      <c r="K11" s="450">
        <v>46123</v>
      </c>
      <c r="L11" s="320" t="s">
        <v>241</v>
      </c>
    </row>
    <row r="12" spans="1:17">
      <c r="A12" s="320"/>
      <c r="B12" s="320"/>
      <c r="C12" s="320"/>
      <c r="D12" s="375" t="s">
        <v>1776</v>
      </c>
      <c r="E12" s="375" t="s">
        <v>2605</v>
      </c>
      <c r="F12" s="375" t="s">
        <v>2614</v>
      </c>
      <c r="G12" s="380" t="s">
        <v>1326</v>
      </c>
      <c r="H12" s="375" t="s">
        <v>1327</v>
      </c>
      <c r="I12" s="375">
        <f>K12-J12</f>
        <v>0</v>
      </c>
      <c r="J12" s="375"/>
      <c r="K12" s="375"/>
      <c r="L12" s="320" t="s">
        <v>241</v>
      </c>
    </row>
    <row r="13" spans="1:17" ht="12.65" hidden="1">
      <c r="A13" s="320"/>
      <c r="B13" s="383" t="s">
        <v>991</v>
      </c>
      <c r="C13" s="383"/>
      <c r="D13" s="457" t="s">
        <v>920</v>
      </c>
      <c r="E13" s="375" t="s">
        <v>1336</v>
      </c>
      <c r="F13" s="375"/>
      <c r="G13" s="375" t="s">
        <v>1326</v>
      </c>
      <c r="H13" s="375" t="s">
        <v>1333</v>
      </c>
      <c r="I13" s="375">
        <f>K13-J13</f>
        <v>3</v>
      </c>
      <c r="J13" s="377">
        <v>46121</v>
      </c>
      <c r="K13" s="377">
        <v>46124</v>
      </c>
      <c r="L13" s="320" t="s">
        <v>2201</v>
      </c>
    </row>
    <row r="14" spans="1:17" ht="12.65" hidden="1">
      <c r="A14" s="320"/>
      <c r="B14" s="383" t="s">
        <v>991</v>
      </c>
      <c r="C14" s="383"/>
      <c r="D14" s="457" t="s">
        <v>1337</v>
      </c>
      <c r="E14" s="375" t="s">
        <v>1336</v>
      </c>
      <c r="F14" s="375"/>
      <c r="G14" s="375" t="s">
        <v>1326</v>
      </c>
      <c r="H14" s="375" t="s">
        <v>1333</v>
      </c>
      <c r="I14" s="375">
        <f t="shared" ref="I14:I52" si="1">K14-J14</f>
        <v>3</v>
      </c>
      <c r="J14" s="377">
        <v>46121</v>
      </c>
      <c r="K14" s="377">
        <v>46124</v>
      </c>
      <c r="L14" s="320" t="s">
        <v>2201</v>
      </c>
    </row>
    <row r="15" spans="1:17" ht="29.15">
      <c r="A15" s="320"/>
      <c r="B15" s="383"/>
      <c r="C15" s="383"/>
      <c r="D15" s="379" t="s">
        <v>2602</v>
      </c>
      <c r="E15" s="375" t="s">
        <v>2604</v>
      </c>
      <c r="F15" s="654" t="s">
        <v>2603</v>
      </c>
      <c r="G15" s="375" t="s">
        <v>1330</v>
      </c>
      <c r="H15" s="375" t="s">
        <v>1327</v>
      </c>
      <c r="I15" s="375">
        <v>1</v>
      </c>
      <c r="J15" s="450">
        <v>46122</v>
      </c>
      <c r="K15" s="450">
        <v>46123</v>
      </c>
      <c r="L15" s="320"/>
    </row>
    <row r="16" spans="1:17">
      <c r="A16" s="320"/>
      <c r="B16" s="320"/>
      <c r="C16" s="320"/>
      <c r="D16" s="375" t="s">
        <v>1338</v>
      </c>
      <c r="E16" s="375" t="s">
        <v>2610</v>
      </c>
      <c r="F16" s="375" t="s">
        <v>1339</v>
      </c>
      <c r="G16" s="375" t="s">
        <v>1326</v>
      </c>
      <c r="H16" s="375" t="s">
        <v>1327</v>
      </c>
      <c r="I16" s="375">
        <f t="shared" si="1"/>
        <v>0</v>
      </c>
      <c r="J16" s="375"/>
      <c r="K16" s="375"/>
      <c r="L16" s="320" t="s">
        <v>241</v>
      </c>
    </row>
    <row r="17" spans="1:12" ht="62.5" hidden="1">
      <c r="A17" s="320"/>
      <c r="B17" s="320"/>
      <c r="C17" s="320"/>
      <c r="D17" s="459" t="s">
        <v>2381</v>
      </c>
      <c r="E17" s="375"/>
      <c r="F17" s="309" t="s">
        <v>2382</v>
      </c>
      <c r="G17" s="375" t="s">
        <v>1330</v>
      </c>
      <c r="H17" s="375" t="s">
        <v>1327</v>
      </c>
      <c r="I17" s="375"/>
      <c r="J17" s="375"/>
      <c r="K17" s="375"/>
      <c r="L17" s="320" t="s">
        <v>241</v>
      </c>
    </row>
    <row r="18" spans="1:12">
      <c r="A18" s="320"/>
      <c r="B18" s="320"/>
      <c r="C18" s="320"/>
      <c r="D18" s="375" t="s">
        <v>1342</v>
      </c>
      <c r="E18" s="375" t="s">
        <v>2607</v>
      </c>
      <c r="F18" s="375" t="s">
        <v>1341</v>
      </c>
      <c r="G18" s="375" t="s">
        <v>1330</v>
      </c>
      <c r="H18" s="375" t="s">
        <v>1327</v>
      </c>
      <c r="I18" s="375">
        <v>1</v>
      </c>
      <c r="J18" s="377">
        <v>46121</v>
      </c>
      <c r="K18" s="376">
        <v>46122</v>
      </c>
      <c r="L18" s="320" t="s">
        <v>241</v>
      </c>
    </row>
    <row r="19" spans="1:12">
      <c r="A19" s="320"/>
      <c r="B19" s="320"/>
      <c r="C19" s="320"/>
      <c r="D19" s="375" t="s">
        <v>1343</v>
      </c>
      <c r="E19" s="375" t="s">
        <v>2612</v>
      </c>
      <c r="F19" s="379" t="s">
        <v>1519</v>
      </c>
      <c r="G19" s="375" t="s">
        <v>1326</v>
      </c>
      <c r="H19" s="379" t="s">
        <v>1327</v>
      </c>
      <c r="I19" s="375">
        <f t="shared" si="1"/>
        <v>0</v>
      </c>
      <c r="J19" s="375"/>
      <c r="K19" s="375"/>
      <c r="L19" s="320" t="s">
        <v>241</v>
      </c>
    </row>
    <row r="20" spans="1:12">
      <c r="A20" s="320"/>
      <c r="B20" s="320"/>
      <c r="C20" s="320"/>
      <c r="D20" s="375" t="s">
        <v>1346</v>
      </c>
      <c r="E20" s="379" t="s">
        <v>1519</v>
      </c>
      <c r="G20" s="375" t="s">
        <v>1326</v>
      </c>
      <c r="H20" s="320" t="s">
        <v>1327</v>
      </c>
      <c r="I20" s="375">
        <f t="shared" si="1"/>
        <v>0</v>
      </c>
      <c r="J20" s="375"/>
      <c r="K20" s="375"/>
      <c r="L20" s="320" t="s">
        <v>241</v>
      </c>
    </row>
    <row r="21" spans="1:12">
      <c r="A21" s="320"/>
      <c r="B21" s="320"/>
      <c r="C21" s="320"/>
      <c r="D21" s="375" t="s">
        <v>1347</v>
      </c>
      <c r="E21" s="379" t="s">
        <v>1519</v>
      </c>
      <c r="G21" s="375" t="s">
        <v>1326</v>
      </c>
      <c r="H21" s="320" t="s">
        <v>1327</v>
      </c>
      <c r="I21" s="375">
        <f t="shared" si="1"/>
        <v>0</v>
      </c>
      <c r="J21" s="375"/>
      <c r="K21" s="375"/>
      <c r="L21" s="320" t="s">
        <v>241</v>
      </c>
    </row>
    <row r="22" spans="1:12">
      <c r="A22" s="320"/>
      <c r="B22" s="320"/>
      <c r="C22" s="320"/>
      <c r="D22" s="379" t="s">
        <v>1535</v>
      </c>
      <c r="E22" s="379" t="s">
        <v>1519</v>
      </c>
      <c r="G22" s="375" t="s">
        <v>1326</v>
      </c>
      <c r="H22" s="320" t="s">
        <v>1327</v>
      </c>
      <c r="I22" s="375">
        <f t="shared" si="1"/>
        <v>0</v>
      </c>
      <c r="J22" s="375"/>
      <c r="K22" s="375"/>
      <c r="L22" s="320" t="s">
        <v>241</v>
      </c>
    </row>
    <row r="23" spans="1:12">
      <c r="A23" s="320"/>
      <c r="B23" s="320"/>
      <c r="C23" s="320"/>
      <c r="D23" s="375" t="s">
        <v>1348</v>
      </c>
      <c r="E23" s="379" t="s">
        <v>1519</v>
      </c>
      <c r="G23" s="375" t="s">
        <v>1326</v>
      </c>
      <c r="H23" s="320" t="s">
        <v>1327</v>
      </c>
      <c r="I23" s="375">
        <f t="shared" si="1"/>
        <v>0</v>
      </c>
      <c r="J23" s="375"/>
      <c r="K23" s="375"/>
      <c r="L23" s="320" t="s">
        <v>241</v>
      </c>
    </row>
    <row r="24" spans="1:12">
      <c r="A24" s="320"/>
      <c r="B24" s="320"/>
      <c r="C24" s="320"/>
      <c r="D24" s="375" t="s">
        <v>1349</v>
      </c>
      <c r="E24" s="379" t="s">
        <v>1519</v>
      </c>
      <c r="G24" s="375" t="s">
        <v>1326</v>
      </c>
      <c r="H24" s="320" t="s">
        <v>1327</v>
      </c>
      <c r="I24" s="375">
        <f t="shared" si="1"/>
        <v>0</v>
      </c>
      <c r="J24" s="375"/>
      <c r="K24" s="375"/>
      <c r="L24" s="320" t="s">
        <v>241</v>
      </c>
    </row>
    <row r="25" spans="1:12">
      <c r="A25" s="320"/>
      <c r="B25" s="320"/>
      <c r="C25" s="320"/>
      <c r="D25" s="375" t="s">
        <v>1350</v>
      </c>
      <c r="E25" s="375" t="s">
        <v>2606</v>
      </c>
      <c r="F25" s="379" t="s">
        <v>1519</v>
      </c>
      <c r="G25" s="380" t="s">
        <v>1326</v>
      </c>
      <c r="H25" s="320" t="s">
        <v>1327</v>
      </c>
      <c r="I25" s="375">
        <f t="shared" si="1"/>
        <v>3</v>
      </c>
      <c r="J25" s="377">
        <v>46121</v>
      </c>
      <c r="K25" s="377">
        <v>46124</v>
      </c>
      <c r="L25" s="320" t="s">
        <v>241</v>
      </c>
    </row>
    <row r="26" spans="1:12" ht="12.65" hidden="1">
      <c r="A26" s="320" t="s">
        <v>1520</v>
      </c>
      <c r="B26" s="320"/>
      <c r="C26" s="320"/>
      <c r="D26" s="380" t="s">
        <v>1351</v>
      </c>
      <c r="E26" s="375" t="s">
        <v>2611</v>
      </c>
      <c r="F26" s="375"/>
      <c r="G26" s="375" t="s">
        <v>1326</v>
      </c>
      <c r="H26" s="320" t="s">
        <v>1327</v>
      </c>
      <c r="I26" s="375">
        <f t="shared" si="1"/>
        <v>0</v>
      </c>
      <c r="J26" s="375"/>
      <c r="K26" s="375"/>
      <c r="L26" s="320" t="s">
        <v>241</v>
      </c>
    </row>
    <row r="27" spans="1:12">
      <c r="A27" s="320"/>
      <c r="B27" s="320"/>
      <c r="C27" s="320"/>
      <c r="D27" s="375" t="s">
        <v>1353</v>
      </c>
      <c r="E27" s="375" t="s">
        <v>2605</v>
      </c>
      <c r="F27" s="375" t="s">
        <v>1354</v>
      </c>
      <c r="G27" s="380" t="s">
        <v>1326</v>
      </c>
      <c r="H27" s="375" t="s">
        <v>1327</v>
      </c>
      <c r="I27" s="375">
        <f t="shared" si="1"/>
        <v>0</v>
      </c>
      <c r="J27" s="375"/>
      <c r="K27" s="375"/>
      <c r="L27" s="320" t="s">
        <v>241</v>
      </c>
    </row>
    <row r="28" spans="1:12" ht="12.65" hidden="1">
      <c r="A28" s="320"/>
      <c r="B28" s="383" t="s">
        <v>991</v>
      </c>
      <c r="C28" s="383"/>
      <c r="D28" s="378" t="s">
        <v>1355</v>
      </c>
      <c r="E28" s="375" t="s">
        <v>1356</v>
      </c>
      <c r="F28" s="375" t="s">
        <v>209</v>
      </c>
      <c r="G28" s="375" t="s">
        <v>1326</v>
      </c>
      <c r="H28" s="375" t="s">
        <v>1333</v>
      </c>
      <c r="I28" s="375">
        <f t="shared" si="1"/>
        <v>0</v>
      </c>
      <c r="J28" s="375"/>
      <c r="K28" s="375"/>
      <c r="L28" s="320" t="s">
        <v>2201</v>
      </c>
    </row>
    <row r="29" spans="1:12" ht="12.65" hidden="1">
      <c r="A29" s="320"/>
      <c r="B29" s="383" t="s">
        <v>991</v>
      </c>
      <c r="C29" s="383"/>
      <c r="D29" s="457" t="s">
        <v>1357</v>
      </c>
      <c r="E29" s="375" t="s">
        <v>1356</v>
      </c>
      <c r="F29" s="375" t="s">
        <v>1358</v>
      </c>
      <c r="G29" s="375" t="s">
        <v>1326</v>
      </c>
      <c r="H29" s="375" t="s">
        <v>1333</v>
      </c>
      <c r="I29" s="375">
        <f t="shared" si="1"/>
        <v>0</v>
      </c>
      <c r="J29" s="375"/>
      <c r="K29" s="375"/>
      <c r="L29" s="320" t="s">
        <v>2201</v>
      </c>
    </row>
    <row r="30" spans="1:12" ht="12.65" hidden="1">
      <c r="A30" s="320"/>
      <c r="B30" s="383" t="s">
        <v>991</v>
      </c>
      <c r="C30" s="383"/>
      <c r="D30" s="378" t="s">
        <v>75</v>
      </c>
      <c r="E30" s="375" t="s">
        <v>1356</v>
      </c>
      <c r="F30" s="375" t="s">
        <v>506</v>
      </c>
      <c r="G30" s="375" t="s">
        <v>1326</v>
      </c>
      <c r="H30" s="375" t="s">
        <v>1333</v>
      </c>
      <c r="I30" s="375">
        <f t="shared" si="1"/>
        <v>0</v>
      </c>
      <c r="J30" s="375"/>
      <c r="K30" s="375"/>
      <c r="L30" s="320" t="s">
        <v>2201</v>
      </c>
    </row>
    <row r="31" spans="1:12" ht="12.65" hidden="1">
      <c r="A31" s="320"/>
      <c r="B31" s="383" t="s">
        <v>991</v>
      </c>
      <c r="C31" s="383"/>
      <c r="D31" s="457" t="s">
        <v>1107</v>
      </c>
      <c r="E31" s="375" t="s">
        <v>1356</v>
      </c>
      <c r="F31" s="191" t="s">
        <v>1359</v>
      </c>
      <c r="G31" s="375" t="s">
        <v>1326</v>
      </c>
      <c r="H31" s="375" t="s">
        <v>1333</v>
      </c>
      <c r="I31" s="375">
        <f t="shared" si="1"/>
        <v>0</v>
      </c>
      <c r="J31" s="375"/>
      <c r="K31" s="375"/>
      <c r="L31" s="320" t="s">
        <v>2201</v>
      </c>
    </row>
    <row r="32" spans="1:12" ht="12.65" hidden="1">
      <c r="A32" s="320"/>
      <c r="B32" s="383" t="s">
        <v>991</v>
      </c>
      <c r="C32" s="383"/>
      <c r="D32" s="378" t="s">
        <v>1091</v>
      </c>
      <c r="E32" s="375" t="s">
        <v>1336</v>
      </c>
      <c r="F32" s="375" t="s">
        <v>137</v>
      </c>
      <c r="G32" s="375" t="s">
        <v>1326</v>
      </c>
      <c r="H32" s="375" t="s">
        <v>1333</v>
      </c>
      <c r="I32" s="375">
        <f t="shared" si="1"/>
        <v>0</v>
      </c>
      <c r="J32" s="375"/>
      <c r="K32" s="375"/>
      <c r="L32" s="320" t="s">
        <v>2201</v>
      </c>
    </row>
    <row r="33" spans="1:12" ht="12.65" hidden="1">
      <c r="A33" s="320"/>
      <c r="B33" s="383" t="s">
        <v>991</v>
      </c>
      <c r="C33" s="383"/>
      <c r="D33" s="378" t="s">
        <v>1072</v>
      </c>
      <c r="E33" s="375" t="s">
        <v>1336</v>
      </c>
      <c r="F33" s="375" t="s">
        <v>440</v>
      </c>
      <c r="G33" s="375" t="s">
        <v>1326</v>
      </c>
      <c r="H33" s="375" t="s">
        <v>1333</v>
      </c>
      <c r="I33" s="375">
        <f t="shared" si="1"/>
        <v>0</v>
      </c>
      <c r="J33" s="375"/>
      <c r="K33" s="375"/>
      <c r="L33" s="320" t="s">
        <v>2201</v>
      </c>
    </row>
    <row r="34" spans="1:12" ht="12.65" hidden="1">
      <c r="A34" s="320"/>
      <c r="B34" s="383" t="s">
        <v>991</v>
      </c>
      <c r="C34" s="383"/>
      <c r="D34" s="378" t="s">
        <v>1023</v>
      </c>
      <c r="E34" s="375" t="s">
        <v>1336</v>
      </c>
      <c r="F34" s="375" t="s">
        <v>1360</v>
      </c>
      <c r="G34" s="375" t="s">
        <v>1326</v>
      </c>
      <c r="H34" s="375" t="s">
        <v>1333</v>
      </c>
      <c r="I34" s="375">
        <f t="shared" si="1"/>
        <v>0</v>
      </c>
      <c r="J34" s="375"/>
      <c r="K34" s="375"/>
      <c r="L34" s="320" t="s">
        <v>2201</v>
      </c>
    </row>
    <row r="35" spans="1:12" ht="12.65" hidden="1">
      <c r="A35" s="320"/>
      <c r="B35" s="383" t="s">
        <v>991</v>
      </c>
      <c r="C35" s="383"/>
      <c r="D35" s="378" t="s">
        <v>1000</v>
      </c>
      <c r="E35" s="375" t="s">
        <v>1361</v>
      </c>
      <c r="F35" s="375" t="s">
        <v>1362</v>
      </c>
      <c r="G35" s="375" t="s">
        <v>1326</v>
      </c>
      <c r="H35" s="375" t="s">
        <v>1333</v>
      </c>
      <c r="I35" s="375">
        <f t="shared" si="1"/>
        <v>0</v>
      </c>
      <c r="J35" s="375"/>
      <c r="K35" s="375"/>
      <c r="L35" s="320" t="s">
        <v>2201</v>
      </c>
    </row>
    <row r="36" spans="1:12" ht="12.65" hidden="1">
      <c r="A36" s="320"/>
      <c r="B36" s="383" t="s">
        <v>991</v>
      </c>
      <c r="C36" s="383"/>
      <c r="D36" s="378" t="s">
        <v>1363</v>
      </c>
      <c r="E36" s="375" t="s">
        <v>1361</v>
      </c>
      <c r="F36" s="375" t="s">
        <v>1362</v>
      </c>
      <c r="G36" s="375" t="s">
        <v>1326</v>
      </c>
      <c r="H36" s="375" t="s">
        <v>1333</v>
      </c>
      <c r="I36" s="375">
        <f t="shared" si="1"/>
        <v>3</v>
      </c>
      <c r="J36" s="450">
        <v>46120</v>
      </c>
      <c r="K36" s="450">
        <v>46123</v>
      </c>
      <c r="L36" s="320" t="s">
        <v>2201</v>
      </c>
    </row>
    <row r="37" spans="1:12" ht="12.65" hidden="1">
      <c r="A37" s="320"/>
      <c r="B37" s="383" t="s">
        <v>991</v>
      </c>
      <c r="C37" s="383"/>
      <c r="D37" s="457" t="s">
        <v>1364</v>
      </c>
      <c r="E37" s="375" t="s">
        <v>1365</v>
      </c>
      <c r="F37" s="375" t="s">
        <v>696</v>
      </c>
      <c r="G37" s="375" t="s">
        <v>1326</v>
      </c>
      <c r="H37" s="375" t="s">
        <v>1333</v>
      </c>
      <c r="I37" s="375">
        <f t="shared" si="1"/>
        <v>0</v>
      </c>
      <c r="J37" s="375"/>
      <c r="K37" s="375"/>
      <c r="L37" s="320" t="s">
        <v>2201</v>
      </c>
    </row>
    <row r="38" spans="1:12" ht="12.65" hidden="1">
      <c r="A38" s="320"/>
      <c r="B38" s="383" t="s">
        <v>991</v>
      </c>
      <c r="C38" s="383"/>
      <c r="D38" s="378" t="s">
        <v>1167</v>
      </c>
      <c r="E38" s="375" t="s">
        <v>1365</v>
      </c>
      <c r="F38" s="375" t="s">
        <v>209</v>
      </c>
      <c r="G38" s="375" t="s">
        <v>1326</v>
      </c>
      <c r="H38" s="375" t="s">
        <v>1333</v>
      </c>
      <c r="I38" s="375">
        <f t="shared" si="1"/>
        <v>2</v>
      </c>
      <c r="J38" s="450">
        <v>46121</v>
      </c>
      <c r="K38" s="450">
        <v>46123</v>
      </c>
      <c r="L38" s="320" t="s">
        <v>2201</v>
      </c>
    </row>
    <row r="39" spans="1:12" ht="12.65" hidden="1">
      <c r="A39" s="320"/>
      <c r="B39" s="383"/>
      <c r="C39" s="383"/>
      <c r="D39" s="379" t="s">
        <v>1366</v>
      </c>
      <c r="E39" s="375" t="s">
        <v>1367</v>
      </c>
      <c r="F39" s="320"/>
      <c r="G39" s="375" t="s">
        <v>1326</v>
      </c>
      <c r="H39" s="375" t="s">
        <v>1333</v>
      </c>
      <c r="I39" s="375">
        <f t="shared" si="1"/>
        <v>3</v>
      </c>
      <c r="J39" s="449">
        <v>46121</v>
      </c>
      <c r="K39" s="449">
        <v>46124</v>
      </c>
      <c r="L39" s="320" t="s">
        <v>2201</v>
      </c>
    </row>
    <row r="40" spans="1:12" ht="12.65" hidden="1">
      <c r="A40" s="320"/>
      <c r="B40" s="383"/>
      <c r="C40" s="383"/>
      <c r="D40" s="379" t="s">
        <v>1368</v>
      </c>
      <c r="E40" s="375" t="s">
        <v>1369</v>
      </c>
      <c r="F40" s="320"/>
      <c r="G40" s="375" t="s">
        <v>1326</v>
      </c>
      <c r="H40" s="375" t="s">
        <v>1333</v>
      </c>
      <c r="I40" s="375">
        <f t="shared" si="1"/>
        <v>3</v>
      </c>
      <c r="J40" s="376">
        <v>46121</v>
      </c>
      <c r="K40" s="376">
        <v>46124</v>
      </c>
      <c r="L40" s="320" t="s">
        <v>2201</v>
      </c>
    </row>
    <row r="41" spans="1:12" ht="12.65" hidden="1">
      <c r="A41" s="320"/>
      <c r="B41" s="383"/>
      <c r="C41" s="383"/>
      <c r="D41" s="379" t="s">
        <v>1370</v>
      </c>
      <c r="E41" s="375" t="s">
        <v>1371</v>
      </c>
      <c r="F41" s="320"/>
      <c r="G41" s="375" t="s">
        <v>1326</v>
      </c>
      <c r="H41" s="375" t="s">
        <v>1333</v>
      </c>
      <c r="I41" s="375">
        <f t="shared" si="1"/>
        <v>2</v>
      </c>
      <c r="J41" s="450">
        <v>46121</v>
      </c>
      <c r="K41" s="450">
        <v>46123</v>
      </c>
      <c r="L41" s="320" t="s">
        <v>2201</v>
      </c>
    </row>
    <row r="42" spans="1:12" ht="12.65">
      <c r="A42" s="320"/>
      <c r="B42" s="320"/>
      <c r="C42" s="320"/>
      <c r="D42" s="375" t="s">
        <v>1481</v>
      </c>
      <c r="E42" s="656" t="s">
        <v>2604</v>
      </c>
      <c r="F42" s="375" t="s">
        <v>1482</v>
      </c>
      <c r="G42" s="380" t="s">
        <v>1326</v>
      </c>
      <c r="H42" s="375" t="s">
        <v>1327</v>
      </c>
      <c r="I42" s="375">
        <f t="shared" si="1"/>
        <v>3</v>
      </c>
      <c r="J42" s="312">
        <v>46121</v>
      </c>
      <c r="K42" s="312">
        <v>46124</v>
      </c>
      <c r="L42" s="320" t="s">
        <v>241</v>
      </c>
    </row>
    <row r="43" spans="1:12">
      <c r="A43" s="320"/>
      <c r="B43" s="320"/>
      <c r="C43" s="320"/>
      <c r="D43" s="375" t="s">
        <v>1483</v>
      </c>
      <c r="E43" s="375" t="s">
        <v>1484</v>
      </c>
      <c r="F43" s="320" t="s">
        <v>2344</v>
      </c>
      <c r="G43" s="375" t="s">
        <v>1326</v>
      </c>
      <c r="H43" s="375" t="s">
        <v>1327</v>
      </c>
      <c r="I43" s="375">
        <f t="shared" si="1"/>
        <v>3</v>
      </c>
      <c r="J43" s="377">
        <v>46121</v>
      </c>
      <c r="K43" s="377">
        <v>46124</v>
      </c>
      <c r="L43" s="320" t="s">
        <v>241</v>
      </c>
    </row>
    <row r="44" spans="1:12" ht="12.65" hidden="1">
      <c r="A44" s="320"/>
      <c r="B44" s="320"/>
      <c r="C44" s="320"/>
      <c r="D44" s="378" t="s">
        <v>1485</v>
      </c>
      <c r="E44" s="375" t="s">
        <v>1486</v>
      </c>
      <c r="F44" s="320"/>
      <c r="G44" s="375" t="s">
        <v>1326</v>
      </c>
      <c r="H44" s="375" t="s">
        <v>1333</v>
      </c>
      <c r="I44" s="375">
        <f t="shared" si="1"/>
        <v>0</v>
      </c>
      <c r="J44" s="320"/>
      <c r="K44" s="320"/>
      <c r="L44" s="320" t="s">
        <v>2201</v>
      </c>
    </row>
    <row r="45" spans="1:12" ht="12.65" hidden="1">
      <c r="A45" s="320"/>
      <c r="B45" s="383" t="s">
        <v>863</v>
      </c>
      <c r="C45" s="383"/>
      <c r="D45" s="379" t="s">
        <v>1521</v>
      </c>
      <c r="E45" s="375" t="s">
        <v>1522</v>
      </c>
      <c r="F45" s="379" t="s">
        <v>137</v>
      </c>
      <c r="G45" s="375" t="s">
        <v>1326</v>
      </c>
      <c r="H45" s="375" t="s">
        <v>1333</v>
      </c>
      <c r="I45" s="375">
        <f t="shared" si="1"/>
        <v>2</v>
      </c>
      <c r="J45" s="381">
        <v>46121</v>
      </c>
      <c r="K45" s="377">
        <v>46123</v>
      </c>
      <c r="L45" s="320" t="s">
        <v>2201</v>
      </c>
    </row>
    <row r="46" spans="1:12" ht="12.65" hidden="1">
      <c r="A46" s="320"/>
      <c r="B46" s="320"/>
      <c r="C46" s="320"/>
      <c r="D46" s="379" t="s">
        <v>1539</v>
      </c>
      <c r="E46" s="379" t="s">
        <v>1541</v>
      </c>
      <c r="F46" s="320" t="s">
        <v>1519</v>
      </c>
      <c r="G46" s="379" t="s">
        <v>1326</v>
      </c>
      <c r="H46" s="375" t="s">
        <v>1327</v>
      </c>
      <c r="I46" s="375">
        <f t="shared" si="1"/>
        <v>0</v>
      </c>
      <c r="J46" s="320"/>
      <c r="K46" s="320"/>
      <c r="L46" s="320" t="s">
        <v>241</v>
      </c>
    </row>
    <row r="47" spans="1:12" ht="12.65" hidden="1">
      <c r="A47" s="320"/>
      <c r="B47" s="320"/>
      <c r="C47" s="320"/>
      <c r="D47" s="379" t="s">
        <v>1540</v>
      </c>
      <c r="E47" s="379" t="s">
        <v>1541</v>
      </c>
      <c r="F47" s="320" t="s">
        <v>1519</v>
      </c>
      <c r="G47" s="379" t="s">
        <v>1326</v>
      </c>
      <c r="H47" s="375" t="s">
        <v>1327</v>
      </c>
      <c r="I47" s="375">
        <f t="shared" si="1"/>
        <v>0</v>
      </c>
      <c r="J47" s="320"/>
      <c r="K47" s="320"/>
      <c r="L47" s="320" t="s">
        <v>241</v>
      </c>
    </row>
    <row r="48" spans="1:12">
      <c r="A48" s="320"/>
      <c r="B48" s="320"/>
      <c r="C48" s="320"/>
      <c r="D48" s="382" t="s">
        <v>1639</v>
      </c>
      <c r="E48" s="320" t="s">
        <v>2607</v>
      </c>
      <c r="F48" s="320" t="s">
        <v>1640</v>
      </c>
      <c r="G48" s="379" t="s">
        <v>1330</v>
      </c>
      <c r="H48" s="375" t="s">
        <v>1327</v>
      </c>
      <c r="I48" s="375">
        <f t="shared" si="1"/>
        <v>0</v>
      </c>
      <c r="J48" s="320"/>
      <c r="K48" s="320"/>
      <c r="L48" s="320" t="s">
        <v>241</v>
      </c>
    </row>
    <row r="49" spans="1:12" ht="12.65" hidden="1">
      <c r="A49" s="320"/>
      <c r="B49" s="320"/>
      <c r="C49" s="320"/>
      <c r="D49" s="320" t="s">
        <v>1641</v>
      </c>
      <c r="E49" s="320" t="s">
        <v>1642</v>
      </c>
      <c r="F49" s="320" t="s">
        <v>299</v>
      </c>
      <c r="G49" s="379" t="s">
        <v>1326</v>
      </c>
      <c r="H49" s="375" t="s">
        <v>1327</v>
      </c>
      <c r="I49" s="375">
        <f t="shared" si="1"/>
        <v>0</v>
      </c>
      <c r="J49" s="320"/>
      <c r="K49" s="320"/>
      <c r="L49" s="320" t="s">
        <v>2201</v>
      </c>
    </row>
    <row r="50" spans="1:12">
      <c r="A50" s="320"/>
      <c r="B50" s="320"/>
      <c r="C50" s="320"/>
      <c r="D50" s="320" t="s">
        <v>2437</v>
      </c>
      <c r="E50" s="655" t="s">
        <v>2607</v>
      </c>
      <c r="F50" s="320" t="s">
        <v>2440</v>
      </c>
      <c r="G50" s="379" t="s">
        <v>1330</v>
      </c>
      <c r="H50" s="375" t="s">
        <v>1327</v>
      </c>
      <c r="I50" s="375">
        <f>K50-J50</f>
        <v>1</v>
      </c>
      <c r="J50" s="381">
        <v>46121</v>
      </c>
      <c r="K50" s="376">
        <v>46122</v>
      </c>
      <c r="L50" t="s">
        <v>2121</v>
      </c>
    </row>
    <row r="51" spans="1:12" ht="12.65">
      <c r="A51" s="320"/>
      <c r="B51" s="320"/>
      <c r="C51" s="320"/>
      <c r="D51" s="320" t="s">
        <v>1695</v>
      </c>
      <c r="E51" s="320" t="s">
        <v>2604</v>
      </c>
      <c r="F51" s="320" t="s">
        <v>2613</v>
      </c>
      <c r="G51" s="657" t="s">
        <v>1326</v>
      </c>
      <c r="H51" s="375" t="s">
        <v>1327</v>
      </c>
      <c r="I51" s="375">
        <f t="shared" si="1"/>
        <v>0</v>
      </c>
      <c r="J51" s="376">
        <v>46122</v>
      </c>
      <c r="K51" s="376">
        <v>46122</v>
      </c>
      <c r="L51" s="320" t="s">
        <v>241</v>
      </c>
    </row>
    <row r="52" spans="1:12" ht="50">
      <c r="A52" s="320"/>
      <c r="B52" s="320"/>
      <c r="C52" s="320"/>
      <c r="D52" s="311" t="s">
        <v>2202</v>
      </c>
      <c r="E52" s="655" t="s">
        <v>2605</v>
      </c>
      <c r="F52" s="311" t="s">
        <v>2203</v>
      </c>
      <c r="G52" s="657" t="s">
        <v>1326</v>
      </c>
      <c r="H52" s="375" t="s">
        <v>1327</v>
      </c>
      <c r="I52" s="375">
        <f t="shared" si="1"/>
        <v>2</v>
      </c>
      <c r="J52" s="376">
        <v>46122</v>
      </c>
      <c r="K52" s="377">
        <v>46124</v>
      </c>
      <c r="L52" s="320" t="s">
        <v>241</v>
      </c>
    </row>
    <row r="53" spans="1:12" ht="12.65" hidden="1">
      <c r="A53" s="320"/>
      <c r="B53" s="320"/>
      <c r="C53" s="320"/>
      <c r="D53" s="320" t="s">
        <v>2195</v>
      </c>
      <c r="E53" s="320"/>
      <c r="F53" s="320"/>
      <c r="G53" s="503" t="s">
        <v>1326</v>
      </c>
      <c r="H53" s="505" t="s">
        <v>1333</v>
      </c>
      <c r="I53" s="504">
        <v>2</v>
      </c>
      <c r="J53" s="506">
        <v>46121</v>
      </c>
      <c r="K53" s="506">
        <v>46123</v>
      </c>
      <c r="L53" s="320" t="s">
        <v>241</v>
      </c>
    </row>
    <row r="54" spans="1:12" ht="12.65" hidden="1">
      <c r="A54" s="320"/>
      <c r="B54" s="320"/>
      <c r="C54" s="320"/>
      <c r="D54" s="320" t="s">
        <v>2196</v>
      </c>
      <c r="E54" s="320"/>
      <c r="F54" s="320"/>
      <c r="G54" s="504"/>
      <c r="H54" s="505"/>
      <c r="I54" s="504"/>
      <c r="J54" s="504"/>
      <c r="K54" s="504"/>
      <c r="L54" s="320" t="s">
        <v>241</v>
      </c>
    </row>
    <row r="55" spans="1:12" ht="12.65" hidden="1">
      <c r="A55" s="320"/>
      <c r="B55" s="320"/>
      <c r="C55" s="320"/>
      <c r="D55" s="383" t="s">
        <v>2197</v>
      </c>
      <c r="E55" s="320"/>
      <c r="F55" s="320"/>
      <c r="G55" s="504" t="s">
        <v>1326</v>
      </c>
      <c r="H55" s="505" t="s">
        <v>1333</v>
      </c>
      <c r="I55" s="504">
        <v>2</v>
      </c>
      <c r="J55" s="506">
        <v>46121</v>
      </c>
      <c r="K55" s="506">
        <v>46123</v>
      </c>
      <c r="L55" s="320" t="s">
        <v>241</v>
      </c>
    </row>
    <row r="56" spans="1:12" ht="12.65" hidden="1">
      <c r="A56" s="320"/>
      <c r="B56" s="320"/>
      <c r="C56" s="320"/>
      <c r="D56" s="383" t="s">
        <v>2198</v>
      </c>
      <c r="E56" s="320"/>
      <c r="F56" s="320"/>
      <c r="G56" s="504"/>
      <c r="H56" s="505"/>
      <c r="I56" s="504"/>
      <c r="J56" s="504"/>
      <c r="K56" s="504"/>
      <c r="L56" s="320" t="s">
        <v>241</v>
      </c>
    </row>
    <row r="57" spans="1:12" ht="12.65" hidden="1">
      <c r="A57" s="320"/>
      <c r="B57" s="320"/>
      <c r="C57" s="320"/>
      <c r="D57" s="383" t="s">
        <v>2199</v>
      </c>
      <c r="E57" s="320"/>
      <c r="F57" s="320"/>
      <c r="G57" s="504" t="s">
        <v>1326</v>
      </c>
      <c r="H57" s="505" t="s">
        <v>1333</v>
      </c>
      <c r="I57" s="504">
        <v>2</v>
      </c>
      <c r="J57" s="506">
        <v>46121</v>
      </c>
      <c r="K57" s="506">
        <v>46123</v>
      </c>
      <c r="L57" s="320" t="s">
        <v>241</v>
      </c>
    </row>
    <row r="58" spans="1:12" ht="12.65" hidden="1">
      <c r="A58" s="320"/>
      <c r="B58" s="320"/>
      <c r="C58" s="320"/>
      <c r="D58" s="383" t="s">
        <v>2200</v>
      </c>
      <c r="E58" s="320"/>
      <c r="F58" s="320"/>
      <c r="G58" s="504"/>
      <c r="H58" s="505"/>
      <c r="I58" s="504"/>
      <c r="J58" s="504"/>
      <c r="K58" s="504"/>
      <c r="L58" s="320" t="s">
        <v>241</v>
      </c>
    </row>
  </sheetData>
  <autoFilter ref="D2:Q58" xr:uid="{4326BC35-D431-48EA-AD8B-552F3070DCCC}">
    <filterColumn colId="1">
      <filters>
        <filter val="DST"/>
        <filter val="HGB"/>
        <filter val="HGB - IITM"/>
        <filter val="HGB - Qmet"/>
        <filter val="HGB, MGB, MTRC"/>
        <filter val="MGB"/>
        <filter val="MGB, MTRC"/>
        <filter val="Mission Director"/>
        <filter val="MTRC"/>
      </filters>
    </filterColumn>
    <sortState xmlns:xlrd2="http://schemas.microsoft.com/office/spreadsheetml/2017/richdata2" ref="D3:Q47">
      <sortCondition descending="1" ref="G2:G39"/>
    </sortState>
  </autoFilter>
  <mergeCells count="15">
    <mergeCell ref="I53:I54"/>
    <mergeCell ref="I55:I56"/>
    <mergeCell ref="I57:I58"/>
    <mergeCell ref="J53:J54"/>
    <mergeCell ref="K53:K54"/>
    <mergeCell ref="J55:J56"/>
    <mergeCell ref="K55:K56"/>
    <mergeCell ref="J57:J58"/>
    <mergeCell ref="K57:K58"/>
    <mergeCell ref="G53:G54"/>
    <mergeCell ref="G55:G56"/>
    <mergeCell ref="G57:G58"/>
    <mergeCell ref="H53:H54"/>
    <mergeCell ref="H55:H56"/>
    <mergeCell ref="H57:H58"/>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D29BB5CF-E140-4A65-93D9-FA3CB11080AC}">
          <x14:formula1>
            <xm:f>Source!$C$3:$C$5</xm:f>
          </x14:formula1>
          <xm:sqref>H57 H55 H3:H53</xm:sqref>
        </x14:dataValidation>
        <x14:dataValidation type="list" allowBlank="1" showInputMessage="1" showErrorMessage="1" xr:uid="{9FB48048-088E-4085-90D7-0B35F4052822}">
          <x14:formula1>
            <xm:f>Source!$E$3:$E$4</xm:f>
          </x14:formula1>
          <xm:sqref>G3:G26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18D33-FC3C-4E44-AA65-DA14DBCA4876}">
  <dimension ref="A1:E119"/>
  <sheetViews>
    <sheetView topLeftCell="A84" workbookViewId="0">
      <selection activeCell="D86" sqref="D86"/>
    </sheetView>
  </sheetViews>
  <sheetFormatPr defaultRowHeight="12.5"/>
  <cols>
    <col min="1" max="1" width="29.453125" style="167" customWidth="1"/>
    <col min="2" max="2" width="24.7265625" style="167" customWidth="1"/>
    <col min="3" max="3" width="21.54296875" style="167" customWidth="1"/>
    <col min="4" max="4" width="11.54296875" style="167" customWidth="1"/>
    <col min="5" max="5" width="13" style="167" customWidth="1"/>
    <col min="6" max="16384" width="8.7265625" style="167"/>
  </cols>
  <sheetData>
    <row r="1" spans="1:5" ht="18.5">
      <c r="A1" s="341" t="s">
        <v>2046</v>
      </c>
      <c r="B1" s="129"/>
      <c r="C1" s="129"/>
      <c r="D1" s="129"/>
      <c r="E1" s="129"/>
    </row>
    <row r="2" spans="1:5" ht="13">
      <c r="A2" s="129"/>
      <c r="B2" s="129"/>
      <c r="C2" s="129"/>
      <c r="D2" s="129"/>
      <c r="E2" s="129"/>
    </row>
    <row r="3" spans="1:5" ht="26">
      <c r="A3" s="342" t="s">
        <v>866</v>
      </c>
      <c r="B3" s="251" t="s">
        <v>1312</v>
      </c>
      <c r="C3" s="289" t="s">
        <v>869</v>
      </c>
      <c r="D3" s="289" t="s">
        <v>2047</v>
      </c>
      <c r="E3" s="251" t="s">
        <v>2048</v>
      </c>
    </row>
    <row r="4" spans="1:5" ht="37.5">
      <c r="A4" s="343">
        <v>1</v>
      </c>
      <c r="B4" s="141" t="s">
        <v>2049</v>
      </c>
      <c r="C4" s="330" t="s">
        <v>2050</v>
      </c>
      <c r="D4" s="289" t="s">
        <v>2051</v>
      </c>
      <c r="E4" s="251"/>
    </row>
    <row r="5" spans="1:5" ht="26">
      <c r="A5" s="342">
        <v>2</v>
      </c>
      <c r="B5" s="251" t="s">
        <v>2052</v>
      </c>
      <c r="C5" s="331" t="s">
        <v>2053</v>
      </c>
      <c r="D5" s="289" t="s">
        <v>2051</v>
      </c>
      <c r="E5" s="251"/>
    </row>
    <row r="6" spans="1:5" ht="37.5">
      <c r="A6" s="343">
        <v>3</v>
      </c>
      <c r="B6" s="144" t="s">
        <v>2054</v>
      </c>
      <c r="C6" s="332" t="s">
        <v>2055</v>
      </c>
      <c r="D6" s="289" t="s">
        <v>2051</v>
      </c>
      <c r="E6" s="251"/>
    </row>
    <row r="7" spans="1:5" ht="37.5">
      <c r="A7" s="343">
        <v>4</v>
      </c>
      <c r="B7" s="144" t="s">
        <v>1338</v>
      </c>
      <c r="C7" s="332" t="s">
        <v>2056</v>
      </c>
      <c r="D7" s="289" t="s">
        <v>2051</v>
      </c>
      <c r="E7" s="344" t="s">
        <v>863</v>
      </c>
    </row>
    <row r="8" spans="1:5" ht="37.5">
      <c r="A8" s="343">
        <v>5</v>
      </c>
      <c r="B8" s="144" t="s">
        <v>2057</v>
      </c>
      <c r="C8" s="332" t="s">
        <v>2058</v>
      </c>
      <c r="D8" s="289" t="s">
        <v>2051</v>
      </c>
      <c r="E8" s="251"/>
    </row>
    <row r="9" spans="1:5" ht="37.5">
      <c r="A9" s="343">
        <v>6</v>
      </c>
      <c r="B9" s="144" t="s">
        <v>2059</v>
      </c>
      <c r="C9" s="332" t="s">
        <v>2060</v>
      </c>
      <c r="D9" s="289" t="s">
        <v>2051</v>
      </c>
      <c r="E9" s="251"/>
    </row>
    <row r="10" spans="1:5" ht="37.5">
      <c r="A10" s="343">
        <v>7</v>
      </c>
      <c r="B10" s="144" t="s">
        <v>1639</v>
      </c>
      <c r="C10" s="332" t="s">
        <v>2061</v>
      </c>
      <c r="D10" s="289" t="s">
        <v>2051</v>
      </c>
      <c r="E10" s="251"/>
    </row>
    <row r="11" spans="1:5" ht="25">
      <c r="A11" s="343">
        <v>8</v>
      </c>
      <c r="B11" s="144" t="s">
        <v>2062</v>
      </c>
      <c r="C11" s="332" t="s">
        <v>2063</v>
      </c>
      <c r="D11" s="289" t="s">
        <v>2064</v>
      </c>
      <c r="E11" s="251"/>
    </row>
    <row r="12" spans="1:5" ht="37.5">
      <c r="A12" s="343">
        <v>9</v>
      </c>
      <c r="B12" s="144" t="s">
        <v>1323</v>
      </c>
      <c r="C12" s="332" t="s">
        <v>2065</v>
      </c>
      <c r="D12" s="289" t="s">
        <v>2064</v>
      </c>
      <c r="E12" s="251"/>
    </row>
    <row r="13" spans="1:5" ht="25">
      <c r="A13" s="343">
        <v>10</v>
      </c>
      <c r="B13" s="144" t="s">
        <v>2066</v>
      </c>
      <c r="C13" s="332" t="s">
        <v>2067</v>
      </c>
      <c r="D13" s="289" t="s">
        <v>2051</v>
      </c>
      <c r="E13" s="251"/>
    </row>
    <row r="14" spans="1:5" ht="39">
      <c r="A14" s="343">
        <v>11</v>
      </c>
      <c r="B14" s="144" t="s">
        <v>2068</v>
      </c>
      <c r="C14" s="332" t="s">
        <v>2069</v>
      </c>
      <c r="D14" s="289" t="s">
        <v>2051</v>
      </c>
      <c r="E14" s="333" t="s">
        <v>2070</v>
      </c>
    </row>
    <row r="15" spans="1:5" ht="37.5">
      <c r="A15" s="343">
        <v>12</v>
      </c>
      <c r="B15" s="144" t="s">
        <v>2071</v>
      </c>
      <c r="C15" s="332" t="s">
        <v>2072</v>
      </c>
      <c r="D15" s="289" t="s">
        <v>2051</v>
      </c>
      <c r="E15" s="251"/>
    </row>
    <row r="16" spans="1:5" ht="37.5">
      <c r="A16" s="343">
        <v>13</v>
      </c>
      <c r="B16" s="144" t="s">
        <v>2073</v>
      </c>
      <c r="C16" s="332" t="s">
        <v>2074</v>
      </c>
      <c r="D16" s="289" t="s">
        <v>2075</v>
      </c>
      <c r="E16" s="344" t="s">
        <v>863</v>
      </c>
    </row>
    <row r="17" spans="1:5" ht="37.5">
      <c r="A17" s="343">
        <v>14</v>
      </c>
      <c r="B17" s="144" t="s">
        <v>86</v>
      </c>
      <c r="C17" s="332" t="s">
        <v>2076</v>
      </c>
      <c r="D17" s="289" t="s">
        <v>2051</v>
      </c>
      <c r="E17" s="344" t="s">
        <v>863</v>
      </c>
    </row>
    <row r="18" spans="1:5" ht="25">
      <c r="A18" s="343">
        <v>15</v>
      </c>
      <c r="B18" s="144" t="s">
        <v>2077</v>
      </c>
      <c r="C18" s="332" t="s">
        <v>2078</v>
      </c>
      <c r="D18" s="289" t="s">
        <v>2051</v>
      </c>
      <c r="E18" s="251"/>
    </row>
    <row r="19" spans="1:5" ht="25">
      <c r="A19" s="343">
        <v>16</v>
      </c>
      <c r="B19" s="144" t="s">
        <v>2079</v>
      </c>
      <c r="C19" s="332" t="s">
        <v>2080</v>
      </c>
      <c r="D19" s="289" t="s">
        <v>2051</v>
      </c>
      <c r="E19" s="251"/>
    </row>
    <row r="20" spans="1:5" ht="25">
      <c r="A20" s="343">
        <v>17</v>
      </c>
      <c r="B20" s="144" t="s">
        <v>2081</v>
      </c>
      <c r="C20" s="332" t="s">
        <v>2082</v>
      </c>
      <c r="D20" s="289" t="s">
        <v>2051</v>
      </c>
      <c r="E20" s="251"/>
    </row>
    <row r="21" spans="1:5" ht="13">
      <c r="A21" s="129"/>
      <c r="B21" s="129"/>
      <c r="C21" s="129"/>
      <c r="D21" s="129"/>
      <c r="E21" s="129"/>
    </row>
    <row r="22" spans="1:5" ht="13">
      <c r="A22" s="129"/>
      <c r="B22" s="129"/>
      <c r="C22" s="129"/>
      <c r="D22" s="129"/>
      <c r="E22" s="129"/>
    </row>
    <row r="23" spans="1:5" ht="13">
      <c r="A23" s="129"/>
      <c r="B23" s="129"/>
      <c r="C23" s="129"/>
      <c r="D23" s="129"/>
      <c r="E23" s="129"/>
    </row>
    <row r="24" spans="1:5" ht="12.5" customHeight="1">
      <c r="A24" s="507" t="s">
        <v>2083</v>
      </c>
      <c r="B24" s="507"/>
      <c r="C24" s="507"/>
      <c r="D24" s="507"/>
      <c r="E24" s="345"/>
    </row>
    <row r="25" spans="1:5" ht="16">
      <c r="A25" s="346" t="s">
        <v>2084</v>
      </c>
      <c r="B25" s="346" t="s">
        <v>1312</v>
      </c>
      <c r="C25" s="346" t="s">
        <v>1399</v>
      </c>
      <c r="D25" s="346"/>
      <c r="E25" s="346" t="s">
        <v>2048</v>
      </c>
    </row>
    <row r="26" spans="1:5" ht="48">
      <c r="A26" s="346">
        <v>1</v>
      </c>
      <c r="B26" s="346" t="s">
        <v>2085</v>
      </c>
      <c r="C26" s="347" t="s">
        <v>2086</v>
      </c>
      <c r="D26" s="346" t="s">
        <v>2087</v>
      </c>
      <c r="E26" s="348"/>
    </row>
    <row r="27" spans="1:5" ht="80">
      <c r="A27" s="346">
        <v>2</v>
      </c>
      <c r="B27" s="349" t="s">
        <v>2088</v>
      </c>
      <c r="C27" s="347" t="s">
        <v>2089</v>
      </c>
      <c r="D27" s="346" t="s">
        <v>2090</v>
      </c>
      <c r="E27" s="348" t="s">
        <v>2091</v>
      </c>
    </row>
    <row r="28" spans="1:5" ht="48">
      <c r="A28" s="346">
        <v>3</v>
      </c>
      <c r="B28" s="349" t="s">
        <v>2092</v>
      </c>
      <c r="C28" s="347" t="s">
        <v>2093</v>
      </c>
      <c r="D28" s="346" t="s">
        <v>2090</v>
      </c>
      <c r="E28" s="348" t="s">
        <v>2091</v>
      </c>
    </row>
    <row r="29" spans="1:5" ht="32">
      <c r="A29" s="346">
        <v>4</v>
      </c>
      <c r="B29" s="346" t="s">
        <v>2094</v>
      </c>
      <c r="C29" s="347" t="s">
        <v>2095</v>
      </c>
      <c r="D29" s="346" t="s">
        <v>2090</v>
      </c>
      <c r="E29" s="350" t="s">
        <v>2096</v>
      </c>
    </row>
    <row r="30" spans="1:5" ht="32">
      <c r="A30" s="346">
        <v>5</v>
      </c>
      <c r="B30" s="346" t="s">
        <v>2097</v>
      </c>
      <c r="C30" s="347" t="s">
        <v>2098</v>
      </c>
      <c r="D30" s="346" t="s">
        <v>2090</v>
      </c>
      <c r="E30" s="351" t="s">
        <v>863</v>
      </c>
    </row>
    <row r="31" spans="1:5" ht="48">
      <c r="A31" s="346">
        <v>6</v>
      </c>
      <c r="B31" s="349" t="s">
        <v>2099</v>
      </c>
      <c r="C31" s="347" t="s">
        <v>2100</v>
      </c>
      <c r="D31" s="346" t="s">
        <v>2090</v>
      </c>
      <c r="E31" s="348" t="s">
        <v>2091</v>
      </c>
    </row>
    <row r="32" spans="1:5" ht="48">
      <c r="A32" s="346">
        <v>7</v>
      </c>
      <c r="B32" s="349" t="s">
        <v>2101</v>
      </c>
      <c r="C32" s="347" t="s">
        <v>2102</v>
      </c>
      <c r="D32" s="346" t="s">
        <v>2090</v>
      </c>
      <c r="E32" s="348" t="s">
        <v>2091</v>
      </c>
    </row>
    <row r="33" spans="1:5" ht="32">
      <c r="A33" s="346">
        <v>8</v>
      </c>
      <c r="B33" s="346" t="s">
        <v>2103</v>
      </c>
      <c r="C33" s="347" t="s">
        <v>2104</v>
      </c>
      <c r="D33" s="346" t="s">
        <v>2090</v>
      </c>
      <c r="E33" s="348"/>
    </row>
    <row r="34" spans="1:5" ht="48">
      <c r="A34" s="346">
        <v>9</v>
      </c>
      <c r="B34" s="349" t="s">
        <v>2105</v>
      </c>
      <c r="C34" s="347" t="s">
        <v>2106</v>
      </c>
      <c r="D34" s="346" t="s">
        <v>2090</v>
      </c>
      <c r="E34" s="348" t="s">
        <v>2091</v>
      </c>
    </row>
    <row r="35" spans="1:5" ht="64">
      <c r="A35" s="346">
        <v>10</v>
      </c>
      <c r="B35" s="349" t="s">
        <v>2107</v>
      </c>
      <c r="C35" s="347" t="s">
        <v>2108</v>
      </c>
      <c r="D35" s="346" t="s">
        <v>2090</v>
      </c>
      <c r="E35" s="348" t="s">
        <v>2091</v>
      </c>
    </row>
    <row r="36" spans="1:5" ht="48">
      <c r="A36" s="346">
        <v>11</v>
      </c>
      <c r="B36" s="349" t="s">
        <v>2109</v>
      </c>
      <c r="C36" s="347" t="s">
        <v>2110</v>
      </c>
      <c r="D36" s="346" t="s">
        <v>2111</v>
      </c>
      <c r="E36" s="348" t="s">
        <v>2091</v>
      </c>
    </row>
    <row r="37" spans="1:5" ht="48">
      <c r="A37" s="346">
        <v>12</v>
      </c>
      <c r="B37" s="349" t="s">
        <v>2112</v>
      </c>
      <c r="C37" s="347" t="s">
        <v>2113</v>
      </c>
      <c r="D37" s="346" t="s">
        <v>2090</v>
      </c>
      <c r="E37" s="348" t="s">
        <v>2091</v>
      </c>
    </row>
    <row r="38" spans="1:5" ht="48">
      <c r="A38" s="346">
        <v>13</v>
      </c>
      <c r="B38" s="346" t="s">
        <v>2114</v>
      </c>
      <c r="C38" s="347" t="s">
        <v>2115</v>
      </c>
      <c r="D38" s="346" t="s">
        <v>2090</v>
      </c>
      <c r="E38" s="348"/>
    </row>
    <row r="39" spans="1:5" ht="64">
      <c r="A39" s="346">
        <v>14</v>
      </c>
      <c r="B39" s="346" t="s">
        <v>2116</v>
      </c>
      <c r="C39" s="347" t="s">
        <v>2117</v>
      </c>
      <c r="D39" s="346" t="s">
        <v>2090</v>
      </c>
      <c r="E39" s="352" t="s">
        <v>2118</v>
      </c>
    </row>
    <row r="40" spans="1:5" ht="48">
      <c r="A40" s="346">
        <v>15</v>
      </c>
      <c r="B40" s="346" t="s">
        <v>2119</v>
      </c>
      <c r="C40" s="347" t="s">
        <v>2120</v>
      </c>
      <c r="D40" s="346" t="s">
        <v>2090</v>
      </c>
      <c r="E40" s="348"/>
    </row>
    <row r="41" spans="1:5" ht="13">
      <c r="A41" s="129"/>
      <c r="B41" s="129"/>
      <c r="C41" s="129"/>
      <c r="D41" s="129"/>
      <c r="E41" s="129"/>
    </row>
    <row r="42" spans="1:5" ht="13">
      <c r="A42" s="129"/>
      <c r="B42" s="129"/>
      <c r="C42" s="129"/>
      <c r="D42" s="129"/>
      <c r="E42" s="129"/>
    </row>
    <row r="43" spans="1:5" ht="18.5">
      <c r="A43" s="341" t="s">
        <v>2121</v>
      </c>
      <c r="B43" s="129"/>
      <c r="C43" s="129"/>
      <c r="D43" s="129"/>
      <c r="E43" s="129"/>
    </row>
    <row r="44" spans="1:5" ht="29">
      <c r="A44" s="343" t="s">
        <v>866</v>
      </c>
      <c r="B44" s="353" t="s">
        <v>1312</v>
      </c>
      <c r="C44" s="348" t="s">
        <v>2122</v>
      </c>
      <c r="D44" s="348" t="s">
        <v>2047</v>
      </c>
      <c r="E44" s="348" t="s">
        <v>2048</v>
      </c>
    </row>
    <row r="45" spans="1:5" ht="16">
      <c r="A45" s="343">
        <v>1</v>
      </c>
      <c r="B45" s="334" t="s">
        <v>2123</v>
      </c>
      <c r="C45" s="335" t="s">
        <v>2124</v>
      </c>
      <c r="D45" s="348" t="s">
        <v>2051</v>
      </c>
      <c r="E45" s="348" t="s">
        <v>863</v>
      </c>
    </row>
    <row r="46" spans="1:5" ht="25">
      <c r="A46" s="343">
        <v>2</v>
      </c>
      <c r="B46" s="334" t="s">
        <v>2125</v>
      </c>
      <c r="C46" s="336" t="s">
        <v>2126</v>
      </c>
      <c r="D46" s="348" t="s">
        <v>2051</v>
      </c>
      <c r="E46" s="352" t="s">
        <v>2118</v>
      </c>
    </row>
    <row r="47" spans="1:5" ht="15.5">
      <c r="A47" s="343">
        <v>3</v>
      </c>
      <c r="B47" s="334" t="s">
        <v>2127</v>
      </c>
      <c r="C47" s="336" t="s">
        <v>2128</v>
      </c>
      <c r="D47" s="348" t="s">
        <v>2051</v>
      </c>
      <c r="E47" s="352" t="s">
        <v>2118</v>
      </c>
    </row>
    <row r="48" spans="1:5" ht="16">
      <c r="A48" s="343">
        <v>4</v>
      </c>
      <c r="B48" s="337" t="s">
        <v>2129</v>
      </c>
      <c r="C48" s="336" t="s">
        <v>2130</v>
      </c>
      <c r="D48" s="348" t="s">
        <v>2051</v>
      </c>
      <c r="E48" s="352" t="s">
        <v>2118</v>
      </c>
    </row>
    <row r="49" spans="1:5" ht="25">
      <c r="A49" s="343">
        <v>5</v>
      </c>
      <c r="B49" s="337" t="s">
        <v>1340</v>
      </c>
      <c r="C49" s="336" t="s">
        <v>2131</v>
      </c>
      <c r="D49" s="348" t="s">
        <v>2051</v>
      </c>
      <c r="E49" s="351" t="s">
        <v>863</v>
      </c>
    </row>
    <row r="50" spans="1:5" ht="16">
      <c r="A50" s="343">
        <v>6</v>
      </c>
      <c r="B50" s="337" t="s">
        <v>2132</v>
      </c>
      <c r="C50" s="335" t="s">
        <v>2133</v>
      </c>
      <c r="D50" s="348" t="s">
        <v>2051</v>
      </c>
      <c r="E50" s="351" t="s">
        <v>863</v>
      </c>
    </row>
    <row r="51" spans="1:5" ht="32">
      <c r="A51" s="343">
        <v>7</v>
      </c>
      <c r="B51" s="337" t="s">
        <v>1342</v>
      </c>
      <c r="C51" s="335" t="s">
        <v>2134</v>
      </c>
      <c r="D51" s="348" t="s">
        <v>2051</v>
      </c>
      <c r="E51" s="351" t="s">
        <v>863</v>
      </c>
    </row>
    <row r="52" spans="1:5" ht="32">
      <c r="A52" s="343">
        <v>8</v>
      </c>
      <c r="B52" s="337" t="s">
        <v>1343</v>
      </c>
      <c r="C52" s="335" t="s">
        <v>2135</v>
      </c>
      <c r="D52" s="348" t="s">
        <v>2051</v>
      </c>
      <c r="E52" s="351" t="s">
        <v>863</v>
      </c>
    </row>
    <row r="53" spans="1:5" ht="16">
      <c r="A53" s="354">
        <v>9</v>
      </c>
      <c r="B53" s="338" t="s">
        <v>2136</v>
      </c>
      <c r="C53" s="339" t="s">
        <v>141</v>
      </c>
      <c r="D53" s="355" t="s">
        <v>2051</v>
      </c>
      <c r="E53" s="356" t="s">
        <v>863</v>
      </c>
    </row>
    <row r="54" spans="1:5" ht="16">
      <c r="A54" s="354">
        <v>10</v>
      </c>
      <c r="B54" s="339" t="s">
        <v>2137</v>
      </c>
      <c r="C54" s="339" t="s">
        <v>274</v>
      </c>
      <c r="D54" s="355" t="s">
        <v>2051</v>
      </c>
      <c r="E54" s="356" t="s">
        <v>863</v>
      </c>
    </row>
    <row r="55" spans="1:5" ht="37.5">
      <c r="A55" s="343">
        <v>11</v>
      </c>
      <c r="B55" s="340" t="s">
        <v>1639</v>
      </c>
      <c r="C55" s="336" t="s">
        <v>2061</v>
      </c>
      <c r="D55" s="251" t="s">
        <v>2051</v>
      </c>
      <c r="E55" s="356" t="s">
        <v>863</v>
      </c>
    </row>
    <row r="56" spans="1:5" ht="15.5">
      <c r="A56" s="357" t="s">
        <v>2138</v>
      </c>
      <c r="B56" s="129"/>
      <c r="C56" s="129"/>
      <c r="D56" s="129"/>
      <c r="E56" s="129"/>
    </row>
    <row r="57" spans="1:5" ht="15.5">
      <c r="A57" s="340">
        <v>1</v>
      </c>
      <c r="B57" s="340" t="s">
        <v>2139</v>
      </c>
      <c r="C57" s="358" t="s">
        <v>2140</v>
      </c>
      <c r="D57" s="340" t="s">
        <v>2051</v>
      </c>
      <c r="E57" s="359" t="s">
        <v>863</v>
      </c>
    </row>
    <row r="58" spans="1:5" ht="15.5">
      <c r="A58" s="340">
        <v>2</v>
      </c>
      <c r="B58" s="340" t="s">
        <v>2141</v>
      </c>
      <c r="C58" s="358" t="s">
        <v>2142</v>
      </c>
      <c r="D58" s="340" t="s">
        <v>2051</v>
      </c>
      <c r="E58" s="340"/>
    </row>
    <row r="59" spans="1:5" ht="13">
      <c r="A59" s="129"/>
      <c r="B59" s="129"/>
      <c r="C59" s="129"/>
      <c r="D59" s="129"/>
      <c r="E59" s="129"/>
    </row>
    <row r="60" spans="1:5" ht="13">
      <c r="A60" s="129"/>
      <c r="B60" s="129"/>
      <c r="C60" s="129"/>
      <c r="D60" s="129"/>
      <c r="E60" s="129"/>
    </row>
    <row r="61" spans="1:5" ht="14.5">
      <c r="A61" s="360" t="s">
        <v>2143</v>
      </c>
      <c r="B61" s="360"/>
      <c r="C61" s="345"/>
      <c r="D61" s="129"/>
      <c r="E61" s="129"/>
    </row>
    <row r="62" spans="1:5" ht="14.5">
      <c r="A62" s="345"/>
      <c r="B62" s="345"/>
      <c r="C62" s="345"/>
      <c r="D62" s="129"/>
      <c r="E62" s="129"/>
    </row>
    <row r="63" spans="1:5" ht="29">
      <c r="A63" s="361" t="s">
        <v>2084</v>
      </c>
      <c r="B63" s="362" t="s">
        <v>1312</v>
      </c>
      <c r="C63" s="362" t="s">
        <v>1903</v>
      </c>
      <c r="D63" s="363" t="s">
        <v>2047</v>
      </c>
      <c r="E63" s="364" t="s">
        <v>2048</v>
      </c>
    </row>
    <row r="64" spans="1:5" ht="14.5">
      <c r="A64" s="365">
        <v>1</v>
      </c>
      <c r="B64" s="366" t="s">
        <v>2144</v>
      </c>
      <c r="C64" s="367" t="s">
        <v>2145</v>
      </c>
      <c r="D64" s="348" t="s">
        <v>2051</v>
      </c>
      <c r="E64" s="348" t="s">
        <v>2096</v>
      </c>
    </row>
    <row r="65" spans="1:5" ht="14.5">
      <c r="A65" s="365">
        <v>2</v>
      </c>
      <c r="B65" s="366" t="s">
        <v>2146</v>
      </c>
      <c r="C65" s="93" t="s">
        <v>2147</v>
      </c>
      <c r="D65" s="348" t="s">
        <v>2064</v>
      </c>
      <c r="E65" s="348" t="s">
        <v>2091</v>
      </c>
    </row>
    <row r="66" spans="1:5" ht="14.5">
      <c r="A66" s="365">
        <v>3</v>
      </c>
      <c r="B66" s="366" t="s">
        <v>2148</v>
      </c>
      <c r="C66" s="93" t="s">
        <v>2149</v>
      </c>
      <c r="D66" s="348" t="s">
        <v>2051</v>
      </c>
      <c r="E66" s="348"/>
    </row>
    <row r="67" spans="1:5" ht="14.5">
      <c r="A67" s="365">
        <v>4</v>
      </c>
      <c r="B67" s="366" t="s">
        <v>2150</v>
      </c>
      <c r="C67" s="367" t="s">
        <v>2151</v>
      </c>
      <c r="D67" s="348" t="s">
        <v>2064</v>
      </c>
      <c r="E67" s="348"/>
    </row>
    <row r="68" spans="1:5" ht="14.5">
      <c r="A68" s="365">
        <v>5</v>
      </c>
      <c r="B68" s="366" t="s">
        <v>2152</v>
      </c>
      <c r="C68" s="367" t="s">
        <v>2153</v>
      </c>
      <c r="D68" s="348" t="s">
        <v>2051</v>
      </c>
      <c r="E68" s="348"/>
    </row>
    <row r="69" spans="1:5" ht="14.5">
      <c r="A69" s="365">
        <v>6</v>
      </c>
      <c r="B69" s="366" t="s">
        <v>2154</v>
      </c>
      <c r="C69" s="367" t="s">
        <v>2135</v>
      </c>
      <c r="D69" s="348" t="s">
        <v>2064</v>
      </c>
      <c r="E69" s="348" t="s">
        <v>2091</v>
      </c>
    </row>
    <row r="70" spans="1:5" ht="14.5">
      <c r="A70" s="365">
        <v>7</v>
      </c>
      <c r="B70" s="366" t="s">
        <v>1483</v>
      </c>
      <c r="C70" s="367" t="s">
        <v>2155</v>
      </c>
      <c r="D70" s="348" t="s">
        <v>2051</v>
      </c>
      <c r="E70" s="441" t="s">
        <v>863</v>
      </c>
    </row>
    <row r="71" spans="1:5" ht="29">
      <c r="A71" s="365">
        <v>8</v>
      </c>
      <c r="B71" s="366" t="s">
        <v>1184</v>
      </c>
      <c r="C71" s="367" t="s">
        <v>539</v>
      </c>
      <c r="D71" s="348" t="s">
        <v>2064</v>
      </c>
      <c r="E71" s="348" t="s">
        <v>2091</v>
      </c>
    </row>
    <row r="72" spans="1:5" ht="13">
      <c r="A72" s="129"/>
      <c r="B72" s="129"/>
      <c r="C72" s="129"/>
      <c r="D72" s="129"/>
      <c r="E72" s="129"/>
    </row>
    <row r="73" spans="1:5" ht="13">
      <c r="A73" s="129"/>
      <c r="B73" s="129"/>
      <c r="C73" s="129"/>
      <c r="D73" s="129"/>
      <c r="E73" s="129"/>
    </row>
    <row r="74" spans="1:5" ht="15">
      <c r="A74" s="368" t="s">
        <v>2156</v>
      </c>
      <c r="B74" s="129"/>
      <c r="C74" s="129"/>
      <c r="D74" s="129"/>
      <c r="E74" s="129"/>
    </row>
    <row r="75" spans="1:5" ht="12.5" customHeight="1">
      <c r="A75" s="369" t="s">
        <v>2084</v>
      </c>
      <c r="B75" s="508" t="s">
        <v>1312</v>
      </c>
      <c r="C75" s="509"/>
      <c r="D75" s="129"/>
      <c r="E75" s="129"/>
    </row>
    <row r="76" spans="1:5" ht="46">
      <c r="A76" s="343">
        <v>1</v>
      </c>
      <c r="B76" s="370" t="s">
        <v>2157</v>
      </c>
      <c r="C76" s="371"/>
      <c r="D76" s="372" t="s">
        <v>863</v>
      </c>
      <c r="E76" s="129"/>
    </row>
    <row r="77" spans="1:5" ht="46.5">
      <c r="A77" s="343">
        <v>2</v>
      </c>
      <c r="B77" s="373" t="s">
        <v>2158</v>
      </c>
      <c r="C77" s="251"/>
      <c r="D77" s="372" t="s">
        <v>863</v>
      </c>
      <c r="E77" s="129"/>
    </row>
    <row r="78" spans="1:5" ht="46.5">
      <c r="A78" s="343">
        <v>3</v>
      </c>
      <c r="B78" s="373" t="s">
        <v>2159</v>
      </c>
      <c r="C78" s="251"/>
      <c r="D78" s="372" t="s">
        <v>863</v>
      </c>
      <c r="E78" s="129"/>
    </row>
    <row r="79" spans="1:5" ht="62">
      <c r="A79" s="343">
        <v>4</v>
      </c>
      <c r="B79" s="373" t="s">
        <v>2160</v>
      </c>
      <c r="C79" s="251"/>
      <c r="D79" s="372" t="s">
        <v>863</v>
      </c>
      <c r="E79" s="129"/>
    </row>
    <row r="80" spans="1:5" ht="62">
      <c r="A80" s="343">
        <v>5</v>
      </c>
      <c r="B80" s="373" t="s">
        <v>2161</v>
      </c>
      <c r="C80" s="251"/>
      <c r="D80" s="129"/>
      <c r="E80" s="129"/>
    </row>
    <row r="81" spans="1:5" ht="46.5">
      <c r="A81" s="343">
        <v>6</v>
      </c>
      <c r="B81" s="373" t="s">
        <v>2162</v>
      </c>
      <c r="C81" s="251"/>
      <c r="D81" s="129"/>
      <c r="E81" s="129"/>
    </row>
    <row r="82" spans="1:5" ht="46">
      <c r="A82" s="343">
        <v>7</v>
      </c>
      <c r="B82" s="373" t="s">
        <v>2163</v>
      </c>
      <c r="C82" s="251"/>
      <c r="D82" s="129"/>
      <c r="E82" s="129"/>
    </row>
    <row r="83" spans="1:5" ht="31">
      <c r="A83" s="343">
        <v>8</v>
      </c>
      <c r="B83" s="373" t="s">
        <v>2164</v>
      </c>
      <c r="C83" s="251"/>
      <c r="D83" s="129"/>
      <c r="E83" s="129"/>
    </row>
    <row r="84" spans="1:5" ht="46.5">
      <c r="A84" s="343">
        <v>9</v>
      </c>
      <c r="B84" s="373" t="s">
        <v>2165</v>
      </c>
      <c r="C84" s="251"/>
      <c r="D84" s="129"/>
      <c r="E84" s="129"/>
    </row>
    <row r="85" spans="1:5" ht="46.5">
      <c r="A85" s="343">
        <v>10</v>
      </c>
      <c r="B85" s="373" t="s">
        <v>2166</v>
      </c>
      <c r="C85" s="251"/>
      <c r="D85" s="129"/>
      <c r="E85" s="129"/>
    </row>
    <row r="86" spans="1:5" ht="31">
      <c r="A86" s="343">
        <v>11</v>
      </c>
      <c r="B86" s="373" t="s">
        <v>2167</v>
      </c>
      <c r="C86" s="251"/>
      <c r="D86" s="372" t="s">
        <v>863</v>
      </c>
      <c r="E86" s="129"/>
    </row>
    <row r="87" spans="1:5" ht="61.5">
      <c r="A87" s="343">
        <v>12</v>
      </c>
      <c r="B87" s="373" t="s">
        <v>2168</v>
      </c>
      <c r="C87" s="251"/>
      <c r="D87" s="129"/>
      <c r="E87" s="129"/>
    </row>
    <row r="88" spans="1:5" ht="46">
      <c r="A88" s="343">
        <v>13</v>
      </c>
      <c r="B88" s="373" t="s">
        <v>2169</v>
      </c>
      <c r="C88" s="251"/>
      <c r="D88" s="372" t="s">
        <v>863</v>
      </c>
      <c r="E88" s="129"/>
    </row>
    <row r="89" spans="1:5" ht="31">
      <c r="A89" s="343">
        <v>14</v>
      </c>
      <c r="B89" s="373" t="s">
        <v>2170</v>
      </c>
      <c r="C89" s="251"/>
      <c r="D89" s="372" t="s">
        <v>863</v>
      </c>
      <c r="E89" s="129"/>
    </row>
    <row r="90" spans="1:5" ht="46">
      <c r="A90" s="343">
        <v>15</v>
      </c>
      <c r="B90" s="373" t="s">
        <v>2171</v>
      </c>
      <c r="C90" s="251"/>
      <c r="D90" s="372" t="s">
        <v>863</v>
      </c>
      <c r="E90" s="129"/>
    </row>
    <row r="91" spans="1:5" ht="46.5">
      <c r="A91" s="343">
        <v>16</v>
      </c>
      <c r="B91" s="373" t="s">
        <v>2172</v>
      </c>
      <c r="C91" s="251"/>
      <c r="D91" s="372" t="s">
        <v>863</v>
      </c>
      <c r="E91" s="129"/>
    </row>
    <row r="92" spans="1:5" ht="30.5">
      <c r="A92" s="343">
        <v>17</v>
      </c>
      <c r="B92" s="373" t="s">
        <v>2173</v>
      </c>
      <c r="C92" s="251"/>
      <c r="D92" s="129"/>
      <c r="E92" s="129"/>
    </row>
    <row r="93" spans="1:5" ht="46">
      <c r="A93" s="343">
        <v>18</v>
      </c>
      <c r="B93" s="373" t="s">
        <v>2174</v>
      </c>
      <c r="C93" s="251"/>
      <c r="D93" s="129"/>
      <c r="E93" s="129"/>
    </row>
    <row r="94" spans="1:5" ht="61.5">
      <c r="A94" s="343">
        <v>19</v>
      </c>
      <c r="B94" s="373" t="s">
        <v>2729</v>
      </c>
      <c r="C94" s="251"/>
      <c r="D94" s="372" t="s">
        <v>863</v>
      </c>
      <c r="E94" s="129"/>
    </row>
    <row r="95" spans="1:5" ht="46.5">
      <c r="A95" s="343">
        <v>20</v>
      </c>
      <c r="B95" s="373" t="s">
        <v>2176</v>
      </c>
      <c r="C95" s="251"/>
      <c r="D95" s="129"/>
      <c r="E95" s="129"/>
    </row>
    <row r="96" spans="1:5" ht="31">
      <c r="A96" s="129"/>
      <c r="B96" s="374" t="s">
        <v>2177</v>
      </c>
      <c r="D96" s="372" t="s">
        <v>863</v>
      </c>
      <c r="E96" s="129"/>
    </row>
    <row r="97" spans="1:5" ht="15">
      <c r="A97" s="368" t="s">
        <v>2178</v>
      </c>
      <c r="B97" s="129"/>
      <c r="C97" s="129"/>
      <c r="D97" s="129"/>
      <c r="E97" s="129"/>
    </row>
    <row r="98" spans="1:5" ht="12.5" customHeight="1">
      <c r="A98" s="369" t="s">
        <v>2084</v>
      </c>
      <c r="B98" s="508" t="s">
        <v>1312</v>
      </c>
      <c r="C98" s="509"/>
      <c r="D98" s="129"/>
      <c r="E98" s="129"/>
    </row>
    <row r="99" spans="1:5" ht="46.5">
      <c r="A99" s="343">
        <v>1</v>
      </c>
      <c r="B99" s="370" t="s">
        <v>2159</v>
      </c>
      <c r="C99" s="371"/>
      <c r="D99" s="372" t="s">
        <v>863</v>
      </c>
      <c r="E99" s="129"/>
    </row>
    <row r="100" spans="1:5" ht="62">
      <c r="A100" s="343">
        <v>2</v>
      </c>
      <c r="B100" s="373" t="s">
        <v>2179</v>
      </c>
      <c r="C100" s="251"/>
      <c r="D100" s="372" t="s">
        <v>863</v>
      </c>
      <c r="E100" s="129"/>
    </row>
    <row r="101" spans="1:5" ht="31">
      <c r="A101" s="343">
        <v>3</v>
      </c>
      <c r="B101" s="373" t="s">
        <v>2180</v>
      </c>
      <c r="C101" s="251"/>
      <c r="D101" s="129"/>
      <c r="E101" s="129"/>
    </row>
    <row r="102" spans="1:5" ht="46.5">
      <c r="A102" s="343">
        <v>4</v>
      </c>
      <c r="B102" s="373" t="s">
        <v>2181</v>
      </c>
      <c r="C102" s="251"/>
      <c r="D102" s="372" t="s">
        <v>863</v>
      </c>
      <c r="E102" s="129"/>
    </row>
    <row r="103" spans="1:5" ht="62">
      <c r="A103" s="343">
        <v>5</v>
      </c>
      <c r="B103" s="373" t="s">
        <v>2182</v>
      </c>
      <c r="C103" s="251"/>
      <c r="D103" s="129"/>
      <c r="E103" s="129"/>
    </row>
    <row r="104" spans="1:5" ht="30.5">
      <c r="A104" s="343">
        <v>6</v>
      </c>
      <c r="B104" s="373" t="s">
        <v>2183</v>
      </c>
      <c r="C104" s="251"/>
      <c r="D104" s="129"/>
      <c r="E104" s="129"/>
    </row>
    <row r="105" spans="1:5" ht="62">
      <c r="A105" s="343">
        <v>7</v>
      </c>
      <c r="B105" s="373" t="s">
        <v>2184</v>
      </c>
      <c r="C105" s="251"/>
      <c r="D105" s="372" t="s">
        <v>863</v>
      </c>
      <c r="E105" s="129"/>
    </row>
    <row r="106" spans="1:5" ht="46.5">
      <c r="A106" s="343">
        <v>8</v>
      </c>
      <c r="B106" s="373" t="s">
        <v>2185</v>
      </c>
      <c r="C106" s="251"/>
      <c r="D106" s="129"/>
      <c r="E106" s="129"/>
    </row>
    <row r="107" spans="1:5" ht="62">
      <c r="A107" s="343">
        <v>9</v>
      </c>
      <c r="B107" s="373" t="s">
        <v>2186</v>
      </c>
      <c r="C107" s="251"/>
      <c r="D107" s="129"/>
      <c r="E107" s="129"/>
    </row>
    <row r="108" spans="1:5" ht="31">
      <c r="A108" s="343">
        <v>10</v>
      </c>
      <c r="B108" s="373" t="s">
        <v>2187</v>
      </c>
      <c r="C108" s="251"/>
      <c r="D108" s="129"/>
      <c r="E108" s="129"/>
    </row>
    <row r="109" spans="1:5" ht="46">
      <c r="A109" s="343">
        <v>11</v>
      </c>
      <c r="B109" s="373" t="s">
        <v>2188</v>
      </c>
      <c r="C109" s="251"/>
      <c r="D109" s="129"/>
      <c r="E109" s="129"/>
    </row>
    <row r="110" spans="1:5" ht="46">
      <c r="A110" s="343">
        <v>12</v>
      </c>
      <c r="B110" s="373" t="s">
        <v>2189</v>
      </c>
      <c r="C110" s="251"/>
      <c r="D110" s="129"/>
      <c r="E110" s="129"/>
    </row>
    <row r="111" spans="1:5" ht="31">
      <c r="A111" s="343">
        <v>13</v>
      </c>
      <c r="B111" s="373" t="s">
        <v>2190</v>
      </c>
      <c r="C111" s="251"/>
      <c r="D111" s="129"/>
      <c r="E111" s="129"/>
    </row>
    <row r="112" spans="1:5" ht="46.5">
      <c r="A112" s="343">
        <v>14</v>
      </c>
      <c r="B112" s="373" t="s">
        <v>2191</v>
      </c>
      <c r="C112" s="251"/>
      <c r="D112" s="372" t="s">
        <v>863</v>
      </c>
      <c r="E112" s="129"/>
    </row>
    <row r="113" spans="1:5" ht="31">
      <c r="A113" s="343">
        <v>15</v>
      </c>
      <c r="B113" s="373" t="s">
        <v>2192</v>
      </c>
      <c r="C113" s="251"/>
      <c r="D113" s="129"/>
      <c r="E113" s="129"/>
    </row>
    <row r="114" spans="1:5" ht="46">
      <c r="A114" s="343">
        <v>16</v>
      </c>
      <c r="B114" s="373" t="s">
        <v>2174</v>
      </c>
      <c r="C114" s="251"/>
      <c r="D114" s="129"/>
      <c r="E114" s="129"/>
    </row>
    <row r="115" spans="1:5" ht="61.5">
      <c r="A115" s="343">
        <v>17</v>
      </c>
      <c r="B115" s="373" t="s">
        <v>2175</v>
      </c>
      <c r="C115" s="251"/>
      <c r="D115" s="372" t="s">
        <v>863</v>
      </c>
      <c r="E115" s="129"/>
    </row>
    <row r="116" spans="1:5" ht="31">
      <c r="A116" s="343">
        <v>18</v>
      </c>
      <c r="B116" s="373" t="s">
        <v>2193</v>
      </c>
      <c r="C116" s="251"/>
      <c r="D116" s="129"/>
      <c r="E116" s="129"/>
    </row>
    <row r="117" spans="1:5" ht="31">
      <c r="A117" s="343">
        <v>19</v>
      </c>
      <c r="B117" s="373" t="s">
        <v>2170</v>
      </c>
      <c r="C117" s="251"/>
      <c r="D117" s="372" t="s">
        <v>863</v>
      </c>
      <c r="E117" s="129"/>
    </row>
    <row r="118" spans="1:5" ht="13">
      <c r="A118" s="129"/>
      <c r="B118" s="129"/>
      <c r="C118" s="129"/>
      <c r="D118" s="129"/>
      <c r="E118" s="129"/>
    </row>
    <row r="119" spans="1:5" ht="15.5">
      <c r="A119" s="129"/>
      <c r="B119" s="357" t="s">
        <v>2194</v>
      </c>
      <c r="C119" s="129"/>
      <c r="D119" s="372" t="s">
        <v>863</v>
      </c>
      <c r="E119" s="129"/>
    </row>
  </sheetData>
  <mergeCells count="3">
    <mergeCell ref="A24:D24"/>
    <mergeCell ref="B75:C75"/>
    <mergeCell ref="B98:C98"/>
  </mergeCells>
  <hyperlinks>
    <hyperlink ref="C4" r:id="rId1" display="mailto:bhaskar@ee.iitm.ac.in" xr:uid="{3ED9E57B-F007-4EAA-BD34-8DC46B3A2262}"/>
    <hyperlink ref="C6" r:id="rId2" display="mailto:sivakumar.srinivasan@krea.edu.in" xr:uid="{30D9468C-703A-4D49-B079-280402B2FCFB}"/>
    <hyperlink ref="C7" r:id="rId3" display="mailto:Vijay.Rao@ltimindtree.com" xr:uid="{FE527CA6-9474-433F-A7A9-CC3AA70EADAD}"/>
    <hyperlink ref="C8" r:id="rId4" display="mailto:deepa.nagaraj@mphasis.com" xr:uid="{96CDE0C9-8400-4719-976C-6C702BA10736}"/>
    <hyperlink ref="C9" r:id="rId5" display="mailto:ceo@tnthub.org" xr:uid="{AAEA8EDB-B1A7-47FD-9225-12E3B3936F03}"/>
    <hyperlink ref="C10" r:id="rId6" display="mailto:preeti.banzal@nic.in" xr:uid="{33DB191D-232E-4CEF-A98F-274E57D03453}"/>
    <hyperlink ref="C11" r:id="rId7" display="mailto:rahulyadav@ord.gov.in" xr:uid="{980478D5-255D-40BD-BD17-EB953554C679}"/>
    <hyperlink ref="C12" r:id="rId8" display="mailto:jbvreddy@nic.in" xr:uid="{420A20B3-1F6A-4AD9-AF2E-7C14ACBD8C19}"/>
    <hyperlink ref="C13" r:id="rId9" display="mailto:ddg.sri-dot@nic.in" xr:uid="{D6BBAC61-00A2-4592-A8F1-1658977EFF11}"/>
    <hyperlink ref="C14" r:id="rId10" display="mailto:akg@cdot.in" xr:uid="{E3742DB3-6C33-4EA5-9764-80DA8B2B82ED}"/>
    <hyperlink ref="C15" r:id="rId11" display="mailto:swatirawal.dang@gov.in" xr:uid="{96D0300D-7E61-492C-803B-FCBFAD973426}"/>
    <hyperlink ref="C16" r:id="rId12" display="mailto:usinha@rri.res.in" xr:uid="{E669B31E-4815-4188-A4AC-E2464FD2C664}"/>
    <hyperlink ref="C17" r:id="rId13" display="mailto:bkanseri@physics.iitd.ac.in" xr:uid="{E96658FA-9CF5-4789-91F5-6E2A60197C1D}"/>
    <hyperlink ref="C18" r:id="rId14" display="mailto:dgaur@cdot.in" xr:uid="{ACC6E034-AD2F-470C-99D3-C6EFABE72134}"/>
    <hyperlink ref="C19" r:id="rId15" display="mailto:senthil@sac.isro.gov.in" xr:uid="{A57A677B-045A-49B1-B0BC-9A7F29426D3D}"/>
    <hyperlink ref="C20" r:id="rId16" display="mailto:prashant@cdot.in" xr:uid="{17D8D53F-C9D6-4FFB-8863-EE1680BBEF71}"/>
    <hyperlink ref="C46" r:id="rId17" display="mailto:director.nplindia@csir.res.in" xr:uid="{22251456-075D-40AC-835B-DF7B19544367}"/>
    <hyperlink ref="C47" r:id="rId18" display="mailto:arul@physics.iitm.ac.in" xr:uid="{3ED34E6C-0DB5-4B97-BB48-A3247CE47D8E}"/>
    <hyperlink ref="C48" r:id="rId19" display="mailto:anil.s@tcs.com" xr:uid="{2CC83B72-60C8-473B-8B33-D6C30D80CC19}"/>
    <hyperlink ref="C49" r:id="rId20" display="mailto:SHUKLA.SP@mahindra.com" xr:uid="{55E30F2E-D22D-470F-A8AC-DF372CBF4CC2}"/>
    <hyperlink ref="C55" r:id="rId21" display="mailto:preeti.banzal@nic.in" xr:uid="{10BC0F26-EA7B-4D99-80BA-9E625D991A49}"/>
    <hyperlink ref="C57" r:id="rId22" display="mailto:dd.art@iitb.ac.in" xr:uid="{AECCD34A-EDE6-4480-89C7-A002B974C251}"/>
    <hyperlink ref="C58" r:id="rId23" display="mailto:dd.fia@iitb.ac.in" xr:uid="{99D55E0E-5C3F-4BF5-9795-5157D2D0B352}"/>
    <hyperlink ref="C65" r:id="rId24" display="mailto:jbvreddy@nic.in " xr:uid="{FECB6356-2B11-4278-87BF-42AE863C04DC}"/>
    <hyperlink ref="C66" r:id="rId25" display="mailto:navakant@iisc.ac.in " xr:uid="{03F143C4-97CF-437E-99BC-1B4DCA16B69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50B8-1D60-4E9F-BAFA-95BB0ACA8127}">
  <dimension ref="B1:M5"/>
  <sheetViews>
    <sheetView workbookViewId="0">
      <selection activeCell="L3" sqref="L3"/>
    </sheetView>
  </sheetViews>
  <sheetFormatPr defaultRowHeight="12.5"/>
  <cols>
    <col min="2" max="2" width="21.26953125" customWidth="1"/>
    <col min="3" max="3" width="12.54296875" bestFit="1" customWidth="1"/>
    <col min="4" max="4" width="14.1796875" bestFit="1" customWidth="1"/>
    <col min="5" max="5" width="13.81640625" customWidth="1"/>
    <col min="7" max="7" width="10.1796875" bestFit="1" customWidth="1"/>
    <col min="8" max="8" width="11.54296875" bestFit="1" customWidth="1"/>
    <col min="9" max="9" width="8.26953125" bestFit="1" customWidth="1"/>
    <col min="10" max="10" width="10.1796875" bestFit="1" customWidth="1"/>
    <col min="11" max="11" width="14.81640625" customWidth="1"/>
    <col min="12" max="12" width="20.1796875" bestFit="1" customWidth="1"/>
  </cols>
  <sheetData>
    <row r="1" spans="2:13" ht="13">
      <c r="G1" s="510" t="s">
        <v>1372</v>
      </c>
      <c r="H1" s="510"/>
      <c r="I1" s="511"/>
      <c r="J1" s="512" t="s">
        <v>1373</v>
      </c>
      <c r="K1" s="512"/>
      <c r="L1" s="512"/>
      <c r="M1" s="512"/>
    </row>
    <row r="2" spans="2:13" ht="26">
      <c r="B2" s="11" t="s">
        <v>1312</v>
      </c>
      <c r="C2" s="11" t="s">
        <v>1374</v>
      </c>
      <c r="D2" s="11" t="s">
        <v>1375</v>
      </c>
      <c r="E2" s="11" t="s">
        <v>1376</v>
      </c>
      <c r="F2" s="12" t="s">
        <v>1377</v>
      </c>
      <c r="G2" s="13" t="s">
        <v>1378</v>
      </c>
      <c r="H2" s="13" t="s">
        <v>1379</v>
      </c>
      <c r="I2" s="14" t="s">
        <v>1380</v>
      </c>
      <c r="J2" s="15" t="s">
        <v>1378</v>
      </c>
      <c r="K2" s="16" t="s">
        <v>1381</v>
      </c>
      <c r="L2" s="15" t="s">
        <v>1382</v>
      </c>
      <c r="M2" s="15" t="s">
        <v>1380</v>
      </c>
    </row>
    <row r="3" spans="2:13">
      <c r="B3" t="s">
        <v>1334</v>
      </c>
      <c r="C3" s="17">
        <v>46269</v>
      </c>
      <c r="D3" t="s">
        <v>863</v>
      </c>
      <c r="E3" t="s">
        <v>1383</v>
      </c>
      <c r="F3" t="s">
        <v>863</v>
      </c>
      <c r="G3" s="17">
        <v>46121</v>
      </c>
      <c r="H3" s="18">
        <v>0.80208333333333337</v>
      </c>
      <c r="I3" t="s">
        <v>1384</v>
      </c>
      <c r="J3" s="17">
        <v>46123</v>
      </c>
      <c r="K3" s="18">
        <v>0.74652777777777779</v>
      </c>
      <c r="M3" t="s">
        <v>1385</v>
      </c>
    </row>
    <row r="4" spans="2:13" ht="13.5">
      <c r="B4" t="s">
        <v>1692</v>
      </c>
      <c r="C4" s="17">
        <v>46299</v>
      </c>
      <c r="D4" t="s">
        <v>863</v>
      </c>
      <c r="E4" s="197" t="s">
        <v>1693</v>
      </c>
      <c r="F4" t="s">
        <v>863</v>
      </c>
      <c r="G4" s="17">
        <v>46122</v>
      </c>
      <c r="H4" s="18">
        <v>0.36805555555555558</v>
      </c>
      <c r="I4" t="s">
        <v>1384</v>
      </c>
      <c r="J4" s="17">
        <v>46123</v>
      </c>
      <c r="K4" s="18">
        <v>0.72916666666666663</v>
      </c>
      <c r="M4" t="s">
        <v>1384</v>
      </c>
    </row>
    <row r="5" spans="2:13">
      <c r="B5" t="s">
        <v>1759</v>
      </c>
      <c r="C5" s="17">
        <v>46299</v>
      </c>
      <c r="D5" t="s">
        <v>863</v>
      </c>
      <c r="E5" t="s">
        <v>1760</v>
      </c>
      <c r="F5" t="s">
        <v>863</v>
      </c>
      <c r="G5" s="17">
        <v>46122</v>
      </c>
      <c r="H5" s="18">
        <v>0.4375</v>
      </c>
      <c r="I5" t="s">
        <v>1384</v>
      </c>
      <c r="J5" s="17">
        <v>46122</v>
      </c>
      <c r="K5" s="18">
        <v>0.92361111111111116</v>
      </c>
      <c r="M5" t="s">
        <v>1384</v>
      </c>
    </row>
  </sheetData>
  <mergeCells count="2">
    <mergeCell ref="G1:I1"/>
    <mergeCell ref="J1:M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FD100-0C3A-4153-8D76-ACE40CEC16F8}">
  <dimension ref="C3:I5"/>
  <sheetViews>
    <sheetView workbookViewId="0">
      <selection activeCell="I7" sqref="I7"/>
    </sheetView>
  </sheetViews>
  <sheetFormatPr defaultRowHeight="12.5"/>
  <sheetData>
    <row r="3" spans="3:9">
      <c r="C3" t="s">
        <v>1327</v>
      </c>
      <c r="E3" t="s">
        <v>1330</v>
      </c>
      <c r="G3" s="59" t="s">
        <v>1879</v>
      </c>
      <c r="I3" s="59" t="s">
        <v>1881</v>
      </c>
    </row>
    <row r="4" spans="3:9">
      <c r="C4" t="s">
        <v>1333</v>
      </c>
      <c r="E4" t="s">
        <v>1326</v>
      </c>
      <c r="G4" s="59" t="s">
        <v>1880</v>
      </c>
      <c r="I4" s="59" t="s">
        <v>1882</v>
      </c>
    </row>
    <row r="5" spans="3:9">
      <c r="C5" t="s">
        <v>1386</v>
      </c>
      <c r="I5" s="59" t="s">
        <v>1883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88E8-FDBE-4F0C-80D9-2C6FEA5D0965}">
  <dimension ref="B2:C14"/>
  <sheetViews>
    <sheetView zoomScale="129" zoomScaleNormal="160" workbookViewId="0">
      <selection activeCell="C21" sqref="C21"/>
    </sheetView>
  </sheetViews>
  <sheetFormatPr defaultRowHeight="12.5"/>
  <cols>
    <col min="2" max="2" width="16" bestFit="1" customWidth="1"/>
    <col min="3" max="3" width="24.6328125" bestFit="1" customWidth="1"/>
  </cols>
  <sheetData>
    <row r="2" spans="2:3">
      <c r="B2" s="59" t="s">
        <v>1536</v>
      </c>
      <c r="C2" s="59" t="s">
        <v>1537</v>
      </c>
    </row>
    <row r="3" spans="2:3">
      <c r="B3" s="59" t="s">
        <v>1538</v>
      </c>
      <c r="C3" t="s">
        <v>1542</v>
      </c>
    </row>
    <row r="4" spans="2:3">
      <c r="B4" t="s">
        <v>1543</v>
      </c>
      <c r="C4" t="s">
        <v>1544</v>
      </c>
    </row>
    <row r="5" spans="2:3">
      <c r="B5" t="s">
        <v>1545</v>
      </c>
      <c r="C5" t="s">
        <v>1546</v>
      </c>
    </row>
    <row r="6" spans="2:3">
      <c r="B6" t="s">
        <v>1555</v>
      </c>
      <c r="C6" t="s">
        <v>1537</v>
      </c>
    </row>
    <row r="7" spans="2:3">
      <c r="B7" t="s">
        <v>1547</v>
      </c>
      <c r="C7" t="s">
        <v>1537</v>
      </c>
    </row>
    <row r="9" spans="2:3">
      <c r="B9" t="s">
        <v>1548</v>
      </c>
      <c r="C9" t="s">
        <v>1549</v>
      </c>
    </row>
    <row r="10" spans="2:3">
      <c r="C10" t="s">
        <v>1550</v>
      </c>
    </row>
    <row r="11" spans="2:3">
      <c r="C11" t="s">
        <v>1551</v>
      </c>
    </row>
    <row r="12" spans="2:3">
      <c r="C12" t="s">
        <v>1552</v>
      </c>
    </row>
    <row r="13" spans="2:3">
      <c r="C13" t="s">
        <v>1553</v>
      </c>
    </row>
    <row r="14" spans="2:3">
      <c r="C14" t="s">
        <v>1554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4B8D-B5D5-46BB-9B99-E86CA63F0D6D}">
  <dimension ref="A1:A4"/>
  <sheetViews>
    <sheetView workbookViewId="0"/>
  </sheetViews>
  <sheetFormatPr defaultRowHeight="12.5"/>
  <cols>
    <col min="1" max="1" width="29.7265625" customWidth="1"/>
  </cols>
  <sheetData>
    <row r="1" spans="1:1" ht="25">
      <c r="A1" s="167" t="s">
        <v>52</v>
      </c>
    </row>
    <row r="2" spans="1:1" ht="25">
      <c r="A2" s="167" t="s">
        <v>93</v>
      </c>
    </row>
    <row r="3" spans="1:1" ht="25">
      <c r="A3" s="167" t="s">
        <v>104</v>
      </c>
    </row>
    <row r="4" spans="1:1">
      <c r="A4" s="167"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Task List</vt:lpstr>
      <vt:lpstr>Attendee List</vt:lpstr>
      <vt:lpstr>TECH EXPO BOOTH Details</vt:lpstr>
      <vt:lpstr>footfall</vt:lpstr>
      <vt:lpstr>Registrations</vt:lpstr>
      <vt:lpstr>Registrations (2)</vt:lpstr>
      <vt:lpstr>Confirmed Email List </vt:lpstr>
      <vt:lpstr>Student list</vt:lpstr>
      <vt:lpstr>Hostel</vt:lpstr>
      <vt:lpstr>Poster Presentation</vt:lpstr>
      <vt:lpstr>Expo</vt:lpstr>
      <vt:lpstr>PI registrations -Hub wise</vt:lpstr>
      <vt:lpstr>Dataset</vt:lpstr>
      <vt:lpstr>Key Events - Requirements </vt:lpstr>
      <vt:lpstr>LPI-MPI List</vt:lpstr>
      <vt:lpstr>LPI Accomodation</vt:lpstr>
      <vt:lpstr>Cab support </vt:lpstr>
      <vt:lpstr>Announcements </vt:lpstr>
      <vt:lpstr>Accommodation</vt:lpstr>
      <vt:lpstr>MGB  MTRC</vt:lpstr>
      <vt:lpstr>Flight Tickets</vt:lpstr>
      <vt:lpstr>Source</vt:lpstr>
      <vt:lpstr>Bulletin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Sanjana Nene</cp:lastModifiedBy>
  <cp:revision/>
  <cp:lastPrinted>2026-03-27T09:29:20Z</cp:lastPrinted>
  <dcterms:created xsi:type="dcterms:W3CDTF">2026-03-10T11:35:10Z</dcterms:created>
  <dcterms:modified xsi:type="dcterms:W3CDTF">2026-04-04T12:19:28Z</dcterms:modified>
  <cp:category/>
  <cp:contentStatus/>
</cp:coreProperties>
</file>